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yalty\source\PchilkaWebApp\docs\Analytics\"/>
    </mc:Choice>
  </mc:AlternateContent>
  <bookViews>
    <workbookView xWindow="0" yWindow="0" windowWidth="15045" windowHeight="10380" tabRatio="0"/>
  </bookViews>
  <sheets>
    <sheet name="TDSheet" sheetId="1" r:id="rId1"/>
  </sheets>
  <externalReferences>
    <externalReference r:id="rId2"/>
    <externalReference r:id="rId3"/>
  </externalReferenc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" i="1"/>
  <c r="AV4" i="1"/>
  <c r="AR4" i="1"/>
  <c r="AN4" i="1"/>
  <c r="AJ4" i="1"/>
  <c r="AF4" i="1"/>
  <c r="AB4" i="1"/>
  <c r="X4" i="1"/>
  <c r="T4" i="1"/>
  <c r="P4" i="1"/>
  <c r="L4" i="1"/>
  <c r="H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" i="1"/>
  <c r="AT4" i="1"/>
  <c r="AP4" i="1"/>
  <c r="AL4" i="1"/>
  <c r="AH4" i="1"/>
  <c r="AD4" i="1"/>
  <c r="Z4" i="1"/>
  <c r="V4" i="1"/>
  <c r="R4" i="1"/>
  <c r="N4" i="1"/>
  <c r="J4" i="1"/>
  <c r="F4" i="1"/>
  <c r="C6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" i="1"/>
  <c r="AX1" i="1"/>
  <c r="AX2" i="1"/>
  <c r="AT1" i="1"/>
  <c r="AT2" i="1"/>
  <c r="AP1" i="1"/>
  <c r="AP2" i="1"/>
  <c r="AL1" i="1"/>
  <c r="AL2" i="1"/>
  <c r="AH1" i="1"/>
  <c r="AH2" i="1"/>
  <c r="AD1" i="1"/>
  <c r="Z1" i="1"/>
  <c r="V1" i="1"/>
  <c r="R1" i="1"/>
  <c r="AD2" i="1"/>
  <c r="Z2" i="1"/>
  <c r="V2" i="1"/>
  <c r="R2" i="1"/>
  <c r="N1" i="1"/>
  <c r="J1" i="1"/>
  <c r="F1" i="1"/>
  <c r="B1" i="1"/>
  <c r="N2" i="1"/>
  <c r="J2" i="1"/>
  <c r="F2" i="1"/>
  <c r="B2" i="1"/>
  <c r="D28" i="1" l="1"/>
  <c r="B5" i="1"/>
  <c r="B6" i="1"/>
  <c r="B7" i="1"/>
  <c r="B8" i="1"/>
  <c r="D8" i="1" s="1"/>
  <c r="B9" i="1"/>
  <c r="B10" i="1"/>
  <c r="B11" i="1"/>
  <c r="B12" i="1"/>
  <c r="D12" i="1" s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D32" i="1" s="1"/>
  <c r="B33" i="1"/>
  <c r="B34" i="1"/>
  <c r="B35" i="1"/>
  <c r="B36" i="1"/>
  <c r="D36" i="1" s="1"/>
  <c r="B37" i="1"/>
  <c r="B38" i="1"/>
  <c r="B39" i="1"/>
  <c r="B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" i="1"/>
  <c r="E40" i="1" s="1"/>
  <c r="C5" i="1"/>
  <c r="D5" i="1" s="1"/>
  <c r="D6" i="1"/>
  <c r="C7" i="1"/>
  <c r="D7" i="1" s="1"/>
  <c r="C8" i="1"/>
  <c r="C9" i="1"/>
  <c r="D9" i="1" s="1"/>
  <c r="C10" i="1"/>
  <c r="D10" i="1" s="1"/>
  <c r="C11" i="1"/>
  <c r="D11" i="1" s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D29" i="1" s="1"/>
  <c r="C30" i="1"/>
  <c r="D30" i="1" s="1"/>
  <c r="C31" i="1"/>
  <c r="D31" i="1" s="1"/>
  <c r="C32" i="1"/>
  <c r="C33" i="1"/>
  <c r="D33" i="1" s="1"/>
  <c r="C34" i="1"/>
  <c r="D34" i="1" s="1"/>
  <c r="C35" i="1"/>
  <c r="D35" i="1" s="1"/>
  <c r="C36" i="1"/>
  <c r="C37" i="1"/>
  <c r="D37" i="1" s="1"/>
  <c r="C38" i="1"/>
  <c r="D38" i="1" s="1"/>
  <c r="C39" i="1"/>
  <c r="D39" i="1" s="1"/>
  <c r="C4" i="1"/>
  <c r="C40" i="1" s="1"/>
  <c r="I3" i="1"/>
  <c r="M3" i="1" s="1"/>
  <c r="Q3" i="1" s="1"/>
  <c r="U3" i="1" s="1"/>
  <c r="Y3" i="1" s="1"/>
  <c r="AC3" i="1" s="1"/>
  <c r="AG3" i="1" s="1"/>
  <c r="AK3" i="1" s="1"/>
  <c r="AO3" i="1" s="1"/>
  <c r="AS3" i="1" s="1"/>
  <c r="AW3" i="1" s="1"/>
  <c r="BA3" i="1" s="1"/>
  <c r="F3" i="1"/>
  <c r="J3" i="1" s="1"/>
  <c r="N3" i="1" s="1"/>
  <c r="R3" i="1" s="1"/>
  <c r="V3" i="1" s="1"/>
  <c r="Z3" i="1" s="1"/>
  <c r="AD3" i="1" s="1"/>
  <c r="AH3" i="1" s="1"/>
  <c r="AL3" i="1" s="1"/>
  <c r="AP3" i="1" s="1"/>
  <c r="AY3" i="1"/>
  <c r="AU3" i="1"/>
  <c r="AQ3" i="1"/>
  <c r="AM3" i="1"/>
  <c r="AI3" i="1"/>
  <c r="AE3" i="1"/>
  <c r="AA3" i="1"/>
  <c r="W3" i="1"/>
  <c r="S3" i="1"/>
  <c r="O3" i="1"/>
  <c r="K3" i="1"/>
  <c r="G3" i="1"/>
  <c r="B40" i="1" l="1"/>
  <c r="D4" i="1"/>
  <c r="D40" i="1" s="1"/>
  <c r="AX3" i="1"/>
  <c r="AT3" i="1"/>
</calcChain>
</file>

<file path=xl/sharedStrings.xml><?xml version="1.0" encoding="utf-8"?>
<sst xmlns="http://schemas.openxmlformats.org/spreadsheetml/2006/main" count="54" uniqueCount="42">
  <si>
    <t>Торговый центр</t>
  </si>
  <si>
    <t>Итого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</si>
  <si>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</si>
  <si>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</si>
  <si>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</si>
  <si>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</si>
  <si>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</si>
  <si>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</si>
  <si>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</si>
  <si>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</si>
  <si>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</si>
  <si>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</si>
  <si>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</si>
  <si>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</si>
  <si>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</si>
  <si>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</si>
  <si>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</si>
  <si>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</si>
  <si>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</si>
  <si>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</si>
  <si>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</si>
  <si>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</si>
  <si>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</si>
  <si>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</si>
  <si>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</si>
  <si>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</si>
  <si>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</si>
  <si>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</si>
  <si>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</si>
  <si>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</si>
  <si>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</si>
  <si>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</si>
  <si>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</si>
  <si>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</si>
  <si>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</si>
  <si>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</si>
  <si>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</si>
  <si>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</si>
  <si>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Коєф.приросту</t>
  </si>
  <si>
    <t>К-ть продаж з 25.08 по 31.08.26</t>
  </si>
  <si>
    <t>К-ть продаж з 01.09 по 07.09.26</t>
  </si>
  <si>
    <t>Залишок на 09.09.26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</si>
</sst>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8"/>
      <name val="Arial"/>
    </font>
    <font>
      <sz val="8"/>
      <name val="Arial"/>
      <family val="2"/>
    </font>
    <font>
      <b/>
      <sz val="10"/>
      <color rgb="FFFFFFFF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color rgb="FFFFFFFF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4574A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rgb="FFBDC7EB"/>
      </left>
      <right/>
      <top/>
      <bottom/>
      <diagonal/>
    </border>
    <border>
      <left style="thin">
        <color rgb="FFBDC7EB"/>
      </left>
      <right/>
      <top/>
      <bottom style="thin">
        <color rgb="FFBDC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7EB"/>
      </left>
      <right/>
      <top style="thin">
        <color rgb="FFBDC7EB"/>
      </top>
      <bottom/>
      <diagonal/>
    </border>
    <border>
      <left style="thin">
        <color rgb="FF7D8AB9"/>
      </left>
      <right/>
      <top style="thin">
        <color rgb="FF7D8AB9"/>
      </top>
      <bottom style="thin">
        <color rgb="FF7D8AB9"/>
      </bottom>
      <diagonal/>
    </border>
    <border>
      <left style="thin">
        <color rgb="FFBDC7EB"/>
      </left>
      <right/>
      <top style="thin">
        <color rgb="FFBDC7EB"/>
      </top>
      <bottom style="thin">
        <color rgb="FFBDC7EB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1" fontId="0" fillId="0" borderId="3" xfId="0" applyNumberFormat="1" applyFill="1" applyBorder="1" applyAlignment="1">
      <alignment horizontal="right" vertical="top"/>
    </xf>
    <xf numFmtId="164" fontId="1" fillId="0" borderId="9" xfId="1" applyNumberFormat="1" applyFont="1" applyFill="1" applyBorder="1" applyAlignment="1">
      <alignment horizontal="right" vertical="top"/>
    </xf>
    <xf numFmtId="164" fontId="0" fillId="0" borderId="3" xfId="0" applyNumberFormat="1" applyFill="1" applyBorder="1" applyAlignment="1">
      <alignment horizontal="right" vertical="top"/>
    </xf>
    <xf numFmtId="164" fontId="0" fillId="0" borderId="13" xfId="0" applyNumberFormat="1" applyFill="1" applyBorder="1" applyAlignment="1">
      <alignment horizontal="right" vertical="top"/>
    </xf>
    <xf numFmtId="0" fontId="2" fillId="4" borderId="6" xfId="0" applyFont="1" applyFill="1" applyBorder="1" applyAlignment="1">
      <alignment horizontal="left" vertical="top"/>
    </xf>
    <xf numFmtId="3" fontId="2" fillId="4" borderId="11" xfId="0" applyNumberFormat="1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" fontId="3" fillId="3" borderId="7" xfId="0" applyNumberFormat="1" applyFont="1" applyFill="1" applyBorder="1" applyAlignment="1">
      <alignment horizontal="center" vertical="top" wrapText="1"/>
    </xf>
    <xf numFmtId="1" fontId="3" fillId="3" borderId="8" xfId="0" applyNumberFormat="1" applyFont="1" applyFill="1" applyBorder="1" applyAlignment="1">
      <alignment horizontal="center" vertical="top" wrapText="1"/>
    </xf>
    <xf numFmtId="1" fontId="3" fillId="3" borderId="12" xfId="0" applyNumberFormat="1" applyFont="1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1" fontId="3" fillId="3" borderId="14" xfId="0" applyNumberFormat="1" applyFont="1" applyFill="1" applyBorder="1" applyAlignment="1">
      <alignment horizontal="center" vertical="top" wrapText="1"/>
    </xf>
    <xf numFmtId="1" fontId="3" fillId="3" borderId="15" xfId="0" applyNumberFormat="1" applyFont="1" applyFill="1" applyBorder="1" applyAlignment="1">
      <alignment horizontal="center" vertical="top" wrapText="1"/>
    </xf>
    <xf numFmtId="1" fontId="3" fillId="3" borderId="16" xfId="0" applyNumberFormat="1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164" fontId="5" fillId="0" borderId="13" xfId="0" applyNumberFormat="1" applyFont="1" applyFill="1" applyBorder="1" applyAlignment="1">
      <alignment horizontal="right" vertical="top"/>
    </xf>
    <xf numFmtId="164" fontId="1" fillId="0" borderId="3" xfId="1" applyNumberFormat="1" applyFont="1" applyFill="1" applyBorder="1" applyAlignment="1">
      <alignment horizontal="right" vertical="top"/>
    </xf>
    <xf numFmtId="164" fontId="1" fillId="0" borderId="10" xfId="1" applyNumberFormat="1" applyFont="1" applyFill="1" applyBorder="1" applyAlignment="1">
      <alignment horizontal="right" vertical="top"/>
    </xf>
  </cellXfs>
  <cellStyles count="2">
    <cellStyle name="Звичайний_TDSheet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90;&#1072;&#1088;&#1080;&#108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3;&#1086;&#1074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6">
          <cell r="A6" t="str">
            <v>Магазин 1/1 (м.Житомир, пр-т Миру, буд.15 )</v>
          </cell>
          <cell r="B6">
            <v>4.0229999999999997</v>
          </cell>
          <cell r="C6">
            <v>1.968</v>
          </cell>
          <cell r="D6">
            <v>490.02</v>
          </cell>
          <cell r="H6">
            <v>8</v>
          </cell>
          <cell r="I6">
            <v>2</v>
          </cell>
          <cell r="J6">
            <v>198.6</v>
          </cell>
          <cell r="N6">
            <v>91</v>
          </cell>
          <cell r="O6">
            <v>12</v>
          </cell>
          <cell r="P6">
            <v>394.8</v>
          </cell>
          <cell r="Q6">
            <v>14</v>
          </cell>
          <cell r="R6">
            <v>2</v>
          </cell>
          <cell r="S6">
            <v>183.4</v>
          </cell>
          <cell r="T6">
            <v>30</v>
          </cell>
          <cell r="U6">
            <v>2</v>
          </cell>
          <cell r="V6">
            <v>153.19999999999999</v>
          </cell>
          <cell r="AC6">
            <v>14</v>
          </cell>
          <cell r="AF6">
            <v>57</v>
          </cell>
          <cell r="AI6">
            <v>0.90600000000000003</v>
          </cell>
          <cell r="AJ6">
            <v>1.782</v>
          </cell>
          <cell r="AK6">
            <v>674.49</v>
          </cell>
          <cell r="AL6">
            <v>6.4020000000000001</v>
          </cell>
          <cell r="AM6">
            <v>7.1999999999999995E-2</v>
          </cell>
        </row>
        <row r="7">
          <cell r="A7" t="str">
            <v>Магазин 2 (вул.Володимирська 73/77)</v>
          </cell>
          <cell r="B7">
            <v>3.056</v>
          </cell>
          <cell r="C7">
            <v>1.9239999999999999</v>
          </cell>
          <cell r="D7">
            <v>479.08</v>
          </cell>
          <cell r="F7">
            <v>2.1320000000000001</v>
          </cell>
          <cell r="G7">
            <v>829.36</v>
          </cell>
          <cell r="H7">
            <v>8</v>
          </cell>
          <cell r="I7">
            <v>1</v>
          </cell>
          <cell r="J7">
            <v>105.7</v>
          </cell>
          <cell r="K7">
            <v>44</v>
          </cell>
          <cell r="L7">
            <v>2</v>
          </cell>
          <cell r="M7">
            <v>132.6</v>
          </cell>
          <cell r="N7">
            <v>47</v>
          </cell>
          <cell r="Q7">
            <v>19</v>
          </cell>
          <cell r="R7">
            <v>2</v>
          </cell>
          <cell r="S7">
            <v>189.4</v>
          </cell>
          <cell r="T7">
            <v>15</v>
          </cell>
          <cell r="U7">
            <v>6</v>
          </cell>
          <cell r="V7">
            <v>459.6</v>
          </cell>
          <cell r="W7">
            <v>4</v>
          </cell>
          <cell r="X7">
            <v>1</v>
          </cell>
          <cell r="Y7">
            <v>25</v>
          </cell>
          <cell r="Z7">
            <v>0.36399999999999999</v>
          </cell>
          <cell r="AA7">
            <v>0.39800000000000002</v>
          </cell>
          <cell r="AB7">
            <v>119</v>
          </cell>
          <cell r="AC7">
            <v>13</v>
          </cell>
          <cell r="AD7">
            <v>5</v>
          </cell>
          <cell r="AE7">
            <v>473.5</v>
          </cell>
          <cell r="AF7">
            <v>25</v>
          </cell>
          <cell r="AG7">
            <v>4</v>
          </cell>
          <cell r="AH7">
            <v>378.8</v>
          </cell>
          <cell r="AI7">
            <v>0.36799999999999999</v>
          </cell>
          <cell r="AJ7">
            <v>0.83</v>
          </cell>
          <cell r="AK7">
            <v>314.14999999999998</v>
          </cell>
          <cell r="AL7">
            <v>6.6459999999999999</v>
          </cell>
          <cell r="AM7">
            <v>0.56799999999999995</v>
          </cell>
        </row>
        <row r="8">
          <cell r="A8" t="str">
            <v>Магазин 3 (вул.Раїси Окипної буд.3)</v>
          </cell>
          <cell r="B8">
            <v>0.29399999999999998</v>
          </cell>
          <cell r="C8">
            <v>3.6059999999999999</v>
          </cell>
          <cell r="D8">
            <v>897.9</v>
          </cell>
          <cell r="F8">
            <v>2.1459999999999999</v>
          </cell>
          <cell r="G8">
            <v>834.81</v>
          </cell>
          <cell r="H8">
            <v>10</v>
          </cell>
          <cell r="K8">
            <v>44</v>
          </cell>
          <cell r="L8">
            <v>2</v>
          </cell>
          <cell r="M8">
            <v>132.6</v>
          </cell>
          <cell r="N8">
            <v>82</v>
          </cell>
          <cell r="O8">
            <v>1</v>
          </cell>
          <cell r="P8">
            <v>32.9</v>
          </cell>
          <cell r="Q8">
            <v>11</v>
          </cell>
          <cell r="R8">
            <v>1</v>
          </cell>
          <cell r="S8">
            <v>94.7</v>
          </cell>
          <cell r="T8">
            <v>3</v>
          </cell>
          <cell r="U8">
            <v>7</v>
          </cell>
          <cell r="V8">
            <v>536.20000000000005</v>
          </cell>
          <cell r="W8">
            <v>1</v>
          </cell>
          <cell r="X8">
            <v>9</v>
          </cell>
          <cell r="Y8">
            <v>225</v>
          </cell>
          <cell r="Z8">
            <v>1.1579999999999999</v>
          </cell>
          <cell r="AC8">
            <v>15</v>
          </cell>
          <cell r="AD8">
            <v>3</v>
          </cell>
          <cell r="AE8">
            <v>284.10000000000002</v>
          </cell>
          <cell r="AF8">
            <v>34</v>
          </cell>
          <cell r="AG8">
            <v>5</v>
          </cell>
          <cell r="AH8">
            <v>473.5</v>
          </cell>
          <cell r="AJ8">
            <v>1.452</v>
          </cell>
          <cell r="AK8">
            <v>549.59</v>
          </cell>
          <cell r="AL8">
            <v>7.8220000000000001</v>
          </cell>
          <cell r="AM8">
            <v>7.0000000000000007E-2</v>
          </cell>
        </row>
        <row r="9">
          <cell r="A9" t="str">
            <v>Магазин 5 (вул.Якуба Коласа 2 (Літера А))</v>
          </cell>
          <cell r="C9">
            <v>0.60799999999999998</v>
          </cell>
          <cell r="D9">
            <v>151.4</v>
          </cell>
          <cell r="F9">
            <v>0.36</v>
          </cell>
          <cell r="G9">
            <v>140.04</v>
          </cell>
          <cell r="H9">
            <v>14</v>
          </cell>
          <cell r="K9">
            <v>29</v>
          </cell>
          <cell r="L9">
            <v>2</v>
          </cell>
          <cell r="M9">
            <v>132.6</v>
          </cell>
          <cell r="N9">
            <v>27</v>
          </cell>
          <cell r="Q9">
            <v>23</v>
          </cell>
          <cell r="T9">
            <v>3</v>
          </cell>
          <cell r="U9">
            <v>1</v>
          </cell>
          <cell r="V9">
            <v>76.599999999999994</v>
          </cell>
          <cell r="W9">
            <v>2</v>
          </cell>
          <cell r="X9">
            <v>6</v>
          </cell>
          <cell r="Y9">
            <v>150</v>
          </cell>
          <cell r="Z9">
            <v>0.78</v>
          </cell>
          <cell r="AC9">
            <v>23</v>
          </cell>
          <cell r="AD9">
            <v>1</v>
          </cell>
          <cell r="AE9">
            <v>94.7</v>
          </cell>
          <cell r="AF9">
            <v>34</v>
          </cell>
          <cell r="AG9">
            <v>2</v>
          </cell>
          <cell r="AH9">
            <v>189.4</v>
          </cell>
          <cell r="AI9">
            <v>2E-3</v>
          </cell>
          <cell r="AJ9">
            <v>2.1960000000000002</v>
          </cell>
          <cell r="AK9">
            <v>831.19</v>
          </cell>
          <cell r="AL9">
            <v>16.666</v>
          </cell>
        </row>
        <row r="10">
          <cell r="A10" t="str">
            <v>Магазин 6 (вул. Сікорского буд.1А)</v>
          </cell>
          <cell r="B10">
            <v>0.54</v>
          </cell>
          <cell r="C10">
            <v>3.21</v>
          </cell>
          <cell r="D10">
            <v>799.29</v>
          </cell>
          <cell r="H10">
            <v>9</v>
          </cell>
          <cell r="I10">
            <v>3</v>
          </cell>
          <cell r="J10">
            <v>317.10000000000002</v>
          </cell>
          <cell r="K10">
            <v>91</v>
          </cell>
          <cell r="L10">
            <v>7</v>
          </cell>
          <cell r="M10">
            <v>464.1</v>
          </cell>
          <cell r="N10">
            <v>155</v>
          </cell>
          <cell r="O10">
            <v>5</v>
          </cell>
          <cell r="P10">
            <v>164.5</v>
          </cell>
          <cell r="Q10">
            <v>36</v>
          </cell>
          <cell r="R10">
            <v>7</v>
          </cell>
          <cell r="S10">
            <v>662.9</v>
          </cell>
          <cell r="T10">
            <v>48</v>
          </cell>
          <cell r="W10">
            <v>4</v>
          </cell>
          <cell r="X10">
            <v>23</v>
          </cell>
          <cell r="Y10">
            <v>575</v>
          </cell>
          <cell r="AC10">
            <v>39</v>
          </cell>
          <cell r="AD10">
            <v>12</v>
          </cell>
          <cell r="AE10">
            <v>1136.4000000000001</v>
          </cell>
          <cell r="AF10">
            <v>5</v>
          </cell>
          <cell r="AI10">
            <v>1.21</v>
          </cell>
          <cell r="AJ10">
            <v>3.1379999999999999</v>
          </cell>
          <cell r="AK10">
            <v>1187.74</v>
          </cell>
          <cell r="AL10">
            <v>21.32</v>
          </cell>
          <cell r="AM10">
            <v>0.81399999999999995</v>
          </cell>
        </row>
        <row r="11">
          <cell r="A11" t="str">
            <v>Магазин 7 (вул. Є.Коновальця, буд 44-б)</v>
          </cell>
          <cell r="C11">
            <v>1.474</v>
          </cell>
          <cell r="D11">
            <v>367.03</v>
          </cell>
          <cell r="H11">
            <v>3</v>
          </cell>
          <cell r="I11">
            <v>4</v>
          </cell>
          <cell r="J11">
            <v>422.8</v>
          </cell>
          <cell r="K11">
            <v>29</v>
          </cell>
          <cell r="N11">
            <v>58</v>
          </cell>
          <cell r="O11">
            <v>2</v>
          </cell>
          <cell r="P11">
            <v>65.8</v>
          </cell>
          <cell r="Q11">
            <v>21</v>
          </cell>
          <cell r="T11">
            <v>2</v>
          </cell>
          <cell r="U11">
            <v>9</v>
          </cell>
          <cell r="V11">
            <v>689.4</v>
          </cell>
          <cell r="W11">
            <v>2</v>
          </cell>
          <cell r="X11">
            <v>6</v>
          </cell>
          <cell r="Y11">
            <v>150</v>
          </cell>
          <cell r="Z11">
            <v>1.0980000000000001</v>
          </cell>
          <cell r="AC11">
            <v>40</v>
          </cell>
          <cell r="AD11">
            <v>3</v>
          </cell>
          <cell r="AE11">
            <v>284.10000000000002</v>
          </cell>
          <cell r="AF11">
            <v>41</v>
          </cell>
          <cell r="AG11">
            <v>6</v>
          </cell>
          <cell r="AH11">
            <v>568.20000000000005</v>
          </cell>
          <cell r="AJ11">
            <v>1.5780000000000001</v>
          </cell>
          <cell r="AK11">
            <v>597.27</v>
          </cell>
          <cell r="AL11">
            <v>6.8339999999999996</v>
          </cell>
        </row>
        <row r="12">
          <cell r="A12" t="str">
            <v>Магазин 8 (м.Ірпінь, вул.10 Лінія, буд.1 б)</v>
          </cell>
          <cell r="B12">
            <v>0.42399999999999999</v>
          </cell>
          <cell r="C12">
            <v>1.48</v>
          </cell>
          <cell r="D12">
            <v>368.51</v>
          </cell>
          <cell r="E12">
            <v>1.76</v>
          </cell>
          <cell r="F12">
            <v>1.044</v>
          </cell>
          <cell r="G12">
            <v>406.12</v>
          </cell>
          <cell r="H12">
            <v>11</v>
          </cell>
          <cell r="I12">
            <v>8</v>
          </cell>
          <cell r="J12">
            <v>845.6</v>
          </cell>
          <cell r="K12">
            <v>10</v>
          </cell>
          <cell r="L12">
            <v>1</v>
          </cell>
          <cell r="M12">
            <v>66.3</v>
          </cell>
          <cell r="N12">
            <v>79</v>
          </cell>
          <cell r="O12">
            <v>2</v>
          </cell>
          <cell r="P12">
            <v>65.8</v>
          </cell>
          <cell r="Q12">
            <v>26</v>
          </cell>
          <cell r="T12">
            <v>22</v>
          </cell>
          <cell r="W12">
            <v>1</v>
          </cell>
          <cell r="X12">
            <v>14</v>
          </cell>
          <cell r="Y12">
            <v>350</v>
          </cell>
          <cell r="Z12">
            <v>2E-3</v>
          </cell>
          <cell r="AC12">
            <v>38</v>
          </cell>
          <cell r="AD12">
            <v>3</v>
          </cell>
          <cell r="AE12">
            <v>284.10000000000002</v>
          </cell>
          <cell r="AF12">
            <v>40</v>
          </cell>
          <cell r="AG12">
            <v>2</v>
          </cell>
          <cell r="AH12">
            <v>189.4</v>
          </cell>
          <cell r="AI12">
            <v>4.0000000000000001E-3</v>
          </cell>
          <cell r="AJ12">
            <v>2.4780000000000002</v>
          </cell>
          <cell r="AK12">
            <v>937.92</v>
          </cell>
          <cell r="AL12">
            <v>36.555999999999997</v>
          </cell>
          <cell r="AM12">
            <v>1.0920000000000001</v>
          </cell>
        </row>
        <row r="13">
          <cell r="A13" t="str">
            <v>Магазин 9/1 (вул.Сім'ї Ідзиковських, 4)</v>
          </cell>
          <cell r="B13">
            <v>2.3820000000000001</v>
          </cell>
          <cell r="C13">
            <v>0.89600000000000002</v>
          </cell>
          <cell r="D13">
            <v>223.11</v>
          </cell>
          <cell r="H13">
            <v>6</v>
          </cell>
          <cell r="I13">
            <v>1</v>
          </cell>
          <cell r="J13">
            <v>105.7</v>
          </cell>
          <cell r="K13">
            <v>59</v>
          </cell>
          <cell r="N13">
            <v>27</v>
          </cell>
          <cell r="Q13">
            <v>22</v>
          </cell>
          <cell r="T13">
            <v>10</v>
          </cell>
          <cell r="U13">
            <v>1</v>
          </cell>
          <cell r="V13">
            <v>76.599999999999994</v>
          </cell>
          <cell r="W13">
            <v>2</v>
          </cell>
          <cell r="X13">
            <v>5</v>
          </cell>
          <cell r="Y13">
            <v>125</v>
          </cell>
          <cell r="Z13">
            <v>0.35399999999999998</v>
          </cell>
          <cell r="AC13">
            <v>39</v>
          </cell>
          <cell r="AF13">
            <v>1</v>
          </cell>
          <cell r="AJ13">
            <v>3.1040000000000001</v>
          </cell>
          <cell r="AK13">
            <v>1174.8599999999999</v>
          </cell>
          <cell r="AL13">
            <v>30.728000000000002</v>
          </cell>
          <cell r="AM13">
            <v>0.504</v>
          </cell>
        </row>
        <row r="14">
          <cell r="A14" t="str">
            <v>Магазин10 (пр.Володимира Івасюка, буд.65-б)</v>
          </cell>
          <cell r="C14">
            <v>2.0760000000000001</v>
          </cell>
          <cell r="D14">
            <v>516.91999999999996</v>
          </cell>
          <cell r="E14">
            <v>3.1560000000000001</v>
          </cell>
          <cell r="F14">
            <v>3.6080000000000001</v>
          </cell>
          <cell r="G14">
            <v>1403.5</v>
          </cell>
          <cell r="H14">
            <v>18</v>
          </cell>
          <cell r="I14">
            <v>3</v>
          </cell>
          <cell r="J14">
            <v>317.10000000000002</v>
          </cell>
          <cell r="K14">
            <v>101</v>
          </cell>
          <cell r="N14">
            <v>54</v>
          </cell>
          <cell r="O14">
            <v>1</v>
          </cell>
          <cell r="P14">
            <v>32.9</v>
          </cell>
          <cell r="Q14">
            <v>8</v>
          </cell>
          <cell r="R14">
            <v>1</v>
          </cell>
          <cell r="S14">
            <v>94.7</v>
          </cell>
          <cell r="T14">
            <v>19</v>
          </cell>
          <cell r="U14">
            <v>1</v>
          </cell>
          <cell r="V14">
            <v>76.599999999999994</v>
          </cell>
          <cell r="W14">
            <v>6</v>
          </cell>
          <cell r="X14">
            <v>13</v>
          </cell>
          <cell r="Y14">
            <v>325</v>
          </cell>
          <cell r="AC14">
            <v>23</v>
          </cell>
          <cell r="AD14">
            <v>1</v>
          </cell>
          <cell r="AE14">
            <v>94.7</v>
          </cell>
          <cell r="AF14">
            <v>43</v>
          </cell>
          <cell r="AG14">
            <v>5</v>
          </cell>
          <cell r="AH14">
            <v>473.5</v>
          </cell>
          <cell r="AI14">
            <v>2E-3</v>
          </cell>
          <cell r="AJ14">
            <v>1.732</v>
          </cell>
          <cell r="AK14">
            <v>655.57</v>
          </cell>
          <cell r="AL14">
            <v>16.852</v>
          </cell>
        </row>
        <row r="15">
          <cell r="A15" t="str">
            <v>Магазин11/1 (вул. Автозаводська, 27)</v>
          </cell>
          <cell r="F15">
            <v>1.454</v>
          </cell>
          <cell r="G15">
            <v>565.61</v>
          </cell>
          <cell r="H15">
            <v>13</v>
          </cell>
          <cell r="K15">
            <v>69</v>
          </cell>
          <cell r="L15">
            <v>1</v>
          </cell>
          <cell r="M15">
            <v>66.3</v>
          </cell>
          <cell r="N15">
            <v>7</v>
          </cell>
          <cell r="Q15">
            <v>25</v>
          </cell>
          <cell r="R15">
            <v>2</v>
          </cell>
          <cell r="S15">
            <v>189.4</v>
          </cell>
          <cell r="T15">
            <v>17</v>
          </cell>
          <cell r="U15">
            <v>6</v>
          </cell>
          <cell r="V15">
            <v>459.6</v>
          </cell>
          <cell r="AC15">
            <v>33</v>
          </cell>
          <cell r="AD15">
            <v>1</v>
          </cell>
          <cell r="AE15">
            <v>94.7</v>
          </cell>
          <cell r="AF15">
            <v>33</v>
          </cell>
          <cell r="AG15">
            <v>1</v>
          </cell>
          <cell r="AH15">
            <v>94.7</v>
          </cell>
          <cell r="AJ15">
            <v>2.98</v>
          </cell>
          <cell r="AK15">
            <v>1127.94</v>
          </cell>
          <cell r="AL15">
            <v>20.681999999999999</v>
          </cell>
          <cell r="AM15">
            <v>3.5999999999999997E-2</v>
          </cell>
        </row>
        <row r="16">
          <cell r="A16" t="str">
            <v>Магазин12 (вул.Антоновича, буд.115-Д)</v>
          </cell>
          <cell r="B16">
            <v>0.88</v>
          </cell>
          <cell r="C16">
            <v>2.9079999999999999</v>
          </cell>
          <cell r="D16">
            <v>724.09</v>
          </cell>
          <cell r="E16">
            <v>-0.54800000000000004</v>
          </cell>
          <cell r="H16">
            <v>-1</v>
          </cell>
          <cell r="I16">
            <v>8</v>
          </cell>
          <cell r="J16">
            <v>845.6</v>
          </cell>
          <cell r="K16">
            <v>245</v>
          </cell>
          <cell r="L16">
            <v>3</v>
          </cell>
          <cell r="M16">
            <v>198.9</v>
          </cell>
          <cell r="N16">
            <v>157</v>
          </cell>
          <cell r="O16">
            <v>1</v>
          </cell>
          <cell r="P16">
            <v>32.9</v>
          </cell>
          <cell r="Q16">
            <v>32</v>
          </cell>
          <cell r="R16">
            <v>1</v>
          </cell>
          <cell r="S16">
            <v>94.7</v>
          </cell>
          <cell r="T16">
            <v>9</v>
          </cell>
          <cell r="X16">
            <v>5</v>
          </cell>
          <cell r="Y16">
            <v>125</v>
          </cell>
          <cell r="AC16">
            <v>60</v>
          </cell>
          <cell r="AD16">
            <v>5</v>
          </cell>
          <cell r="AE16">
            <v>473.5</v>
          </cell>
          <cell r="AG16">
            <v>2</v>
          </cell>
          <cell r="AH16">
            <v>189.4</v>
          </cell>
          <cell r="AJ16">
            <v>1.1679999999999999</v>
          </cell>
          <cell r="AK16">
            <v>442.09</v>
          </cell>
          <cell r="AL16">
            <v>2.0579999999999998</v>
          </cell>
          <cell r="AM16">
            <v>0.78600000000000003</v>
          </cell>
        </row>
        <row r="17">
          <cell r="A17" t="str">
            <v>Магазин13/1 (с.Тарасівка,вул.Братів Чмілів,буд 3-А)</v>
          </cell>
          <cell r="C17">
            <v>0.91200000000000003</v>
          </cell>
          <cell r="D17">
            <v>227.09</v>
          </cell>
          <cell r="H17">
            <v>9</v>
          </cell>
          <cell r="I17">
            <v>1</v>
          </cell>
          <cell r="J17">
            <v>105.7</v>
          </cell>
          <cell r="K17">
            <v>142</v>
          </cell>
          <cell r="L17">
            <v>5</v>
          </cell>
          <cell r="M17">
            <v>331.5</v>
          </cell>
          <cell r="N17">
            <v>51</v>
          </cell>
          <cell r="O17">
            <v>8</v>
          </cell>
          <cell r="P17">
            <v>263.2</v>
          </cell>
          <cell r="Q17">
            <v>18</v>
          </cell>
          <cell r="U17">
            <v>1</v>
          </cell>
          <cell r="V17">
            <v>76.599999999999994</v>
          </cell>
          <cell r="W17">
            <v>1</v>
          </cell>
          <cell r="X17">
            <v>14</v>
          </cell>
          <cell r="Y17">
            <v>350</v>
          </cell>
          <cell r="AC17">
            <v>43</v>
          </cell>
          <cell r="AF17">
            <v>32</v>
          </cell>
          <cell r="AG17">
            <v>6</v>
          </cell>
          <cell r="AH17">
            <v>568.20000000000005</v>
          </cell>
          <cell r="AI17">
            <v>0.35399999999999998</v>
          </cell>
          <cell r="AJ17">
            <v>2.0920000000000001</v>
          </cell>
          <cell r="AK17">
            <v>791.82</v>
          </cell>
          <cell r="AL17">
            <v>30.024000000000001</v>
          </cell>
          <cell r="AM17">
            <v>0.106</v>
          </cell>
        </row>
        <row r="18">
          <cell r="A18" t="str">
            <v>Магазин14 (вул.Світла,буд 3Д.корп.1,приміщ.2013)</v>
          </cell>
          <cell r="B18">
            <v>0.27600000000000002</v>
          </cell>
          <cell r="C18">
            <v>3.12</v>
          </cell>
          <cell r="D18">
            <v>776.88</v>
          </cell>
          <cell r="E18">
            <v>2.3620000000000001</v>
          </cell>
          <cell r="F18">
            <v>3.2040000000000002</v>
          </cell>
          <cell r="G18">
            <v>1175.75</v>
          </cell>
          <cell r="H18">
            <v>11</v>
          </cell>
          <cell r="I18">
            <v>1</v>
          </cell>
          <cell r="J18">
            <v>105.7</v>
          </cell>
          <cell r="K18">
            <v>96</v>
          </cell>
          <cell r="L18">
            <v>4</v>
          </cell>
          <cell r="M18">
            <v>265.2</v>
          </cell>
          <cell r="N18">
            <v>75</v>
          </cell>
          <cell r="O18">
            <v>3</v>
          </cell>
          <cell r="P18">
            <v>98.7</v>
          </cell>
          <cell r="Q18">
            <v>25</v>
          </cell>
          <cell r="R18">
            <v>1</v>
          </cell>
          <cell r="S18">
            <v>94.7</v>
          </cell>
          <cell r="T18">
            <v>63</v>
          </cell>
          <cell r="U18">
            <v>2</v>
          </cell>
          <cell r="V18">
            <v>153.19999999999999</v>
          </cell>
          <cell r="AC18">
            <v>36</v>
          </cell>
          <cell r="AD18">
            <v>4</v>
          </cell>
          <cell r="AE18">
            <v>378.8</v>
          </cell>
          <cell r="AF18">
            <v>40</v>
          </cell>
          <cell r="AG18">
            <v>3</v>
          </cell>
          <cell r="AH18">
            <v>284.10000000000002</v>
          </cell>
          <cell r="AJ18">
            <v>2.766</v>
          </cell>
          <cell r="AK18">
            <v>1046.94</v>
          </cell>
          <cell r="AL18">
            <v>27.431999999999999</v>
          </cell>
          <cell r="AM18">
            <v>0.57399999999999995</v>
          </cell>
        </row>
        <row r="19">
          <cell r="A19" t="str">
            <v>Магазин15 (вул.Шолом-Алейхема, буд.10А)</v>
          </cell>
          <cell r="B19">
            <v>0.57599999999999996</v>
          </cell>
          <cell r="C19">
            <v>2.1280000000000001</v>
          </cell>
          <cell r="D19">
            <v>529.86</v>
          </cell>
          <cell r="E19">
            <v>1.2E-2</v>
          </cell>
          <cell r="F19">
            <v>1.0940000000000001</v>
          </cell>
          <cell r="G19">
            <v>425.56</v>
          </cell>
          <cell r="H19">
            <v>11</v>
          </cell>
          <cell r="K19">
            <v>76</v>
          </cell>
          <cell r="L19">
            <v>3</v>
          </cell>
          <cell r="M19">
            <v>198.9</v>
          </cell>
          <cell r="N19">
            <v>88</v>
          </cell>
          <cell r="O19">
            <v>1</v>
          </cell>
          <cell r="P19">
            <v>32.9</v>
          </cell>
          <cell r="Q19">
            <v>33</v>
          </cell>
          <cell r="R19">
            <v>2</v>
          </cell>
          <cell r="S19">
            <v>189.4</v>
          </cell>
          <cell r="T19">
            <v>16</v>
          </cell>
          <cell r="U19">
            <v>1</v>
          </cell>
          <cell r="V19">
            <v>76.599999999999994</v>
          </cell>
          <cell r="X19">
            <v>6</v>
          </cell>
          <cell r="Y19">
            <v>150</v>
          </cell>
          <cell r="Z19">
            <v>0.36799999999999999</v>
          </cell>
          <cell r="AC19">
            <v>37</v>
          </cell>
          <cell r="AD19">
            <v>1</v>
          </cell>
          <cell r="AE19">
            <v>94.7</v>
          </cell>
          <cell r="AF19">
            <v>39</v>
          </cell>
          <cell r="AG19">
            <v>2</v>
          </cell>
          <cell r="AH19">
            <v>189.4</v>
          </cell>
          <cell r="AI19">
            <v>0.504</v>
          </cell>
          <cell r="AJ19">
            <v>2.306</v>
          </cell>
          <cell r="AK19">
            <v>872.83</v>
          </cell>
          <cell r="AL19">
            <v>6.6180000000000003</v>
          </cell>
        </row>
        <row r="20">
          <cell r="A20" t="str">
            <v>Магазин16 (пр.Романа Шухевича, буд 11-А)</v>
          </cell>
          <cell r="C20">
            <v>1.032</v>
          </cell>
          <cell r="D20">
            <v>256.95999999999998</v>
          </cell>
          <cell r="H20">
            <v>8</v>
          </cell>
          <cell r="K20">
            <v>37</v>
          </cell>
          <cell r="N20">
            <v>45</v>
          </cell>
          <cell r="Q20">
            <v>24</v>
          </cell>
          <cell r="T20">
            <v>22</v>
          </cell>
          <cell r="U20">
            <v>2</v>
          </cell>
          <cell r="V20">
            <v>153.19999999999999</v>
          </cell>
          <cell r="X20">
            <v>2</v>
          </cell>
          <cell r="Y20">
            <v>50</v>
          </cell>
          <cell r="Z20">
            <v>1.1559999999999999</v>
          </cell>
          <cell r="AC20">
            <v>14</v>
          </cell>
          <cell r="AF20">
            <v>21</v>
          </cell>
          <cell r="AG20">
            <v>2</v>
          </cell>
          <cell r="AH20">
            <v>189.4</v>
          </cell>
          <cell r="AL20">
            <v>6.7060000000000004</v>
          </cell>
        </row>
        <row r="21">
          <cell r="A21" t="str">
            <v>Магазин17/1 (м.Бориспіль, вул.Головатого, буд 64)</v>
          </cell>
          <cell r="B21">
            <v>0.77200000000000002</v>
          </cell>
          <cell r="C21">
            <v>0.91600000000000004</v>
          </cell>
          <cell r="D21">
            <v>228.09</v>
          </cell>
          <cell r="H21">
            <v>10</v>
          </cell>
          <cell r="K21">
            <v>36</v>
          </cell>
          <cell r="L21">
            <v>4</v>
          </cell>
          <cell r="M21">
            <v>265.2</v>
          </cell>
          <cell r="N21">
            <v>49</v>
          </cell>
          <cell r="O21">
            <v>1</v>
          </cell>
          <cell r="P21">
            <v>32.9</v>
          </cell>
          <cell r="Q21">
            <v>29</v>
          </cell>
          <cell r="T21">
            <v>15</v>
          </cell>
          <cell r="U21">
            <v>7</v>
          </cell>
          <cell r="V21">
            <v>536.20000000000005</v>
          </cell>
          <cell r="X21">
            <v>4</v>
          </cell>
          <cell r="Y21">
            <v>100</v>
          </cell>
          <cell r="Z21">
            <v>0.36799999999999999</v>
          </cell>
          <cell r="AC21">
            <v>23</v>
          </cell>
          <cell r="AD21">
            <v>4</v>
          </cell>
          <cell r="AE21">
            <v>378.8</v>
          </cell>
          <cell r="AF21">
            <v>5</v>
          </cell>
          <cell r="AI21">
            <v>0.49</v>
          </cell>
          <cell r="AJ21">
            <v>0.48799999999999999</v>
          </cell>
          <cell r="AK21">
            <v>184.71</v>
          </cell>
          <cell r="AL21">
            <v>18</v>
          </cell>
          <cell r="AM21">
            <v>3.5999999999999997E-2</v>
          </cell>
        </row>
        <row r="22">
          <cell r="A22" t="str">
            <v>Магазин20 (вул.Бориспільська буд 32-А)</v>
          </cell>
          <cell r="B22">
            <v>4.5359999999999996</v>
          </cell>
          <cell r="C22">
            <v>3.298</v>
          </cell>
          <cell r="D22">
            <v>821.19</v>
          </cell>
          <cell r="E22">
            <v>0.32600000000000001</v>
          </cell>
          <cell r="F22">
            <v>0.68200000000000005</v>
          </cell>
          <cell r="G22">
            <v>265.3</v>
          </cell>
          <cell r="H22">
            <v>8</v>
          </cell>
          <cell r="K22">
            <v>76</v>
          </cell>
          <cell r="N22">
            <v>49</v>
          </cell>
          <cell r="Q22">
            <v>26</v>
          </cell>
          <cell r="T22">
            <v>13</v>
          </cell>
          <cell r="U22">
            <v>1</v>
          </cell>
          <cell r="V22">
            <v>76.599999999999994</v>
          </cell>
          <cell r="W22">
            <v>4</v>
          </cell>
          <cell r="X22">
            <v>13</v>
          </cell>
          <cell r="Y22">
            <v>325</v>
          </cell>
          <cell r="AC22">
            <v>33</v>
          </cell>
          <cell r="AD22">
            <v>2</v>
          </cell>
          <cell r="AE22">
            <v>189.4</v>
          </cell>
          <cell r="AF22">
            <v>4</v>
          </cell>
          <cell r="AG22">
            <v>1</v>
          </cell>
          <cell r="AH22">
            <v>94.7</v>
          </cell>
          <cell r="AJ22">
            <v>6.4740000000000002</v>
          </cell>
          <cell r="AK22">
            <v>2450.42</v>
          </cell>
          <cell r="AL22">
            <v>9.0839999999999996</v>
          </cell>
          <cell r="AM22">
            <v>0.246</v>
          </cell>
        </row>
        <row r="23">
          <cell r="A23" t="str">
            <v>Магазин21 (м.Ірпінь, вул Матвія Донцова,буд 50б)</v>
          </cell>
          <cell r="H23">
            <v>10</v>
          </cell>
          <cell r="I23">
            <v>3</v>
          </cell>
          <cell r="J23">
            <v>317.10000000000002</v>
          </cell>
          <cell r="K23">
            <v>68</v>
          </cell>
          <cell r="L23">
            <v>3</v>
          </cell>
          <cell r="M23">
            <v>198.9</v>
          </cell>
          <cell r="N23">
            <v>104</v>
          </cell>
          <cell r="O23">
            <v>1</v>
          </cell>
          <cell r="P23">
            <v>32.9</v>
          </cell>
          <cell r="Q23">
            <v>31</v>
          </cell>
          <cell r="R23">
            <v>1</v>
          </cell>
          <cell r="S23">
            <v>94.7</v>
          </cell>
          <cell r="T23">
            <v>23</v>
          </cell>
          <cell r="U23">
            <v>1</v>
          </cell>
          <cell r="V23">
            <v>76.599999999999994</v>
          </cell>
          <cell r="X23">
            <v>4</v>
          </cell>
          <cell r="Y23">
            <v>100</v>
          </cell>
          <cell r="AC23">
            <v>39</v>
          </cell>
          <cell r="AD23">
            <v>4</v>
          </cell>
          <cell r="AE23">
            <v>378.8</v>
          </cell>
          <cell r="AF23">
            <v>40</v>
          </cell>
          <cell r="AI23">
            <v>2E-3</v>
          </cell>
          <cell r="AJ23">
            <v>2.032</v>
          </cell>
          <cell r="AK23">
            <v>769.12</v>
          </cell>
          <cell r="AL23">
            <v>26.026</v>
          </cell>
          <cell r="AM23">
            <v>0.54</v>
          </cell>
        </row>
        <row r="24">
          <cell r="A24" t="str">
            <v>Магазин22 (вул.Вітряні гори, буд.21/7(літера А)</v>
          </cell>
          <cell r="F24">
            <v>3.16</v>
          </cell>
          <cell r="G24">
            <v>1229.26</v>
          </cell>
          <cell r="H24">
            <v>9</v>
          </cell>
          <cell r="K24">
            <v>96</v>
          </cell>
          <cell r="L24">
            <v>3</v>
          </cell>
          <cell r="M24">
            <v>198.9</v>
          </cell>
          <cell r="N24">
            <v>75</v>
          </cell>
          <cell r="O24">
            <v>3</v>
          </cell>
          <cell r="P24">
            <v>98.7</v>
          </cell>
          <cell r="Q24">
            <v>31</v>
          </cell>
          <cell r="R24">
            <v>2</v>
          </cell>
          <cell r="S24">
            <v>189.4</v>
          </cell>
          <cell r="T24">
            <v>12</v>
          </cell>
          <cell r="U24">
            <v>8</v>
          </cell>
          <cell r="V24">
            <v>612.79999999999995</v>
          </cell>
          <cell r="AC24">
            <v>34</v>
          </cell>
          <cell r="AD24">
            <v>1</v>
          </cell>
          <cell r="AE24">
            <v>94.7</v>
          </cell>
          <cell r="AF24">
            <v>40</v>
          </cell>
          <cell r="AI24">
            <v>2E-3</v>
          </cell>
          <cell r="AJ24">
            <v>2.41</v>
          </cell>
          <cell r="AK24">
            <v>912.19</v>
          </cell>
          <cell r="AL24">
            <v>14.178000000000001</v>
          </cell>
          <cell r="AM24">
            <v>0.106</v>
          </cell>
        </row>
        <row r="25">
          <cell r="A25" t="str">
            <v>Магазин23 (бул.В.Гавела 18)</v>
          </cell>
          <cell r="C25">
            <v>19.265999999999998</v>
          </cell>
          <cell r="D25">
            <v>4797.2299999999996</v>
          </cell>
          <cell r="E25">
            <v>1.452</v>
          </cell>
          <cell r="F25">
            <v>1.462</v>
          </cell>
          <cell r="G25">
            <v>568.72</v>
          </cell>
          <cell r="H25">
            <v>7</v>
          </cell>
          <cell r="I25">
            <v>2</v>
          </cell>
          <cell r="J25">
            <v>211.4</v>
          </cell>
          <cell r="K25">
            <v>191</v>
          </cell>
          <cell r="L25">
            <v>1</v>
          </cell>
          <cell r="M25">
            <v>62.99</v>
          </cell>
          <cell r="N25">
            <v>86</v>
          </cell>
          <cell r="O25">
            <v>6</v>
          </cell>
          <cell r="P25">
            <v>197.4</v>
          </cell>
          <cell r="Q25">
            <v>43</v>
          </cell>
          <cell r="R25">
            <v>2</v>
          </cell>
          <cell r="S25">
            <v>189.4</v>
          </cell>
          <cell r="T25">
            <v>144</v>
          </cell>
          <cell r="U25">
            <v>2</v>
          </cell>
          <cell r="V25">
            <v>153.19999999999999</v>
          </cell>
          <cell r="X25">
            <v>18</v>
          </cell>
          <cell r="Y25">
            <v>450</v>
          </cell>
          <cell r="AA25">
            <v>1.026</v>
          </cell>
          <cell r="AB25">
            <v>306.77</v>
          </cell>
          <cell r="AC25">
            <v>67</v>
          </cell>
          <cell r="AD25">
            <v>4</v>
          </cell>
          <cell r="AE25">
            <v>378.8</v>
          </cell>
          <cell r="AF25">
            <v>54</v>
          </cell>
          <cell r="AG25">
            <v>10</v>
          </cell>
          <cell r="AH25">
            <v>947</v>
          </cell>
          <cell r="AJ25">
            <v>17.826000000000001</v>
          </cell>
          <cell r="AK25">
            <v>6725.14</v>
          </cell>
          <cell r="AL25">
            <v>113.238</v>
          </cell>
          <cell r="AM25">
            <v>0.43</v>
          </cell>
        </row>
        <row r="26">
          <cell r="A26" t="str">
            <v>Магазин24/1 (смт.Глеваха, вул.Ботанічна, буд.34)</v>
          </cell>
          <cell r="B26">
            <v>0.222</v>
          </cell>
          <cell r="C26">
            <v>1.8440000000000001</v>
          </cell>
          <cell r="D26">
            <v>459.16</v>
          </cell>
          <cell r="H26">
            <v>8</v>
          </cell>
          <cell r="K26">
            <v>230</v>
          </cell>
          <cell r="L26">
            <v>23</v>
          </cell>
          <cell r="M26">
            <v>1524.9</v>
          </cell>
          <cell r="N26">
            <v>120</v>
          </cell>
          <cell r="O26">
            <v>7</v>
          </cell>
          <cell r="P26">
            <v>230.3</v>
          </cell>
          <cell r="Q26">
            <v>8</v>
          </cell>
          <cell r="T26">
            <v>15</v>
          </cell>
          <cell r="U26">
            <v>11</v>
          </cell>
          <cell r="V26">
            <v>842.6</v>
          </cell>
          <cell r="AC26">
            <v>7</v>
          </cell>
          <cell r="AD26">
            <v>2</v>
          </cell>
          <cell r="AE26">
            <v>189.4</v>
          </cell>
          <cell r="AF26">
            <v>5</v>
          </cell>
          <cell r="AG26">
            <v>6</v>
          </cell>
          <cell r="AH26">
            <v>568.20000000000005</v>
          </cell>
          <cell r="AI26">
            <v>6.0000000000000001E-3</v>
          </cell>
          <cell r="AJ26">
            <v>1.6719999999999999</v>
          </cell>
          <cell r="AK26">
            <v>632.85</v>
          </cell>
          <cell r="AL26">
            <v>30.905000000000001</v>
          </cell>
          <cell r="AM26">
            <v>0.35199999999999998</v>
          </cell>
        </row>
        <row r="27">
          <cell r="A27" t="str">
            <v>Магазин25 (с.Софіївська Борщагівка,вул.Чубинського, 8-В)</v>
          </cell>
          <cell r="B27">
            <v>1.968</v>
          </cell>
          <cell r="C27">
            <v>1.5820000000000001</v>
          </cell>
          <cell r="D27">
            <v>393.92</v>
          </cell>
          <cell r="E27">
            <v>0.33800000000000002</v>
          </cell>
          <cell r="F27">
            <v>3.238</v>
          </cell>
          <cell r="G27">
            <v>1259.5899999999999</v>
          </cell>
          <cell r="H27">
            <v>10</v>
          </cell>
          <cell r="I27">
            <v>1</v>
          </cell>
          <cell r="J27">
            <v>105.7</v>
          </cell>
          <cell r="K27">
            <v>188</v>
          </cell>
          <cell r="N27">
            <v>95</v>
          </cell>
          <cell r="Q27">
            <v>30</v>
          </cell>
          <cell r="R27">
            <v>2</v>
          </cell>
          <cell r="S27">
            <v>189.4</v>
          </cell>
          <cell r="T27">
            <v>16</v>
          </cell>
          <cell r="U27">
            <v>8</v>
          </cell>
          <cell r="V27">
            <v>612.79999999999995</v>
          </cell>
          <cell r="AC27">
            <v>35</v>
          </cell>
          <cell r="AD27">
            <v>3</v>
          </cell>
          <cell r="AE27">
            <v>284.10000000000002</v>
          </cell>
          <cell r="AF27">
            <v>43</v>
          </cell>
          <cell r="AG27">
            <v>5</v>
          </cell>
          <cell r="AH27">
            <v>473.5</v>
          </cell>
          <cell r="AI27">
            <v>4.0000000000000001E-3</v>
          </cell>
          <cell r="AJ27">
            <v>4.2119999999999997</v>
          </cell>
          <cell r="AK27">
            <v>1594.25</v>
          </cell>
          <cell r="AL27">
            <v>37.985999999999997</v>
          </cell>
          <cell r="AM27">
            <v>0.53200000000000003</v>
          </cell>
        </row>
        <row r="28">
          <cell r="A28" t="str">
            <v>Магазин26 (вул.Данченка Сергія,буд.30.прим.279)</v>
          </cell>
          <cell r="B28">
            <v>0.6</v>
          </cell>
          <cell r="C28">
            <v>0.55400000000000005</v>
          </cell>
          <cell r="D28">
            <v>137.94999999999999</v>
          </cell>
          <cell r="H28">
            <v>20</v>
          </cell>
          <cell r="I28">
            <v>1</v>
          </cell>
          <cell r="J28">
            <v>105.7</v>
          </cell>
          <cell r="K28">
            <v>79</v>
          </cell>
          <cell r="L28">
            <v>3</v>
          </cell>
          <cell r="M28">
            <v>198.9</v>
          </cell>
          <cell r="N28">
            <v>62</v>
          </cell>
          <cell r="O28">
            <v>4</v>
          </cell>
          <cell r="P28">
            <v>131.6</v>
          </cell>
          <cell r="Q28">
            <v>20</v>
          </cell>
          <cell r="R28">
            <v>3</v>
          </cell>
          <cell r="S28">
            <v>284.10000000000002</v>
          </cell>
          <cell r="T28">
            <v>20</v>
          </cell>
          <cell r="U28">
            <v>4</v>
          </cell>
          <cell r="V28">
            <v>306.39999999999998</v>
          </cell>
          <cell r="Z28">
            <v>0.39200000000000002</v>
          </cell>
          <cell r="AC28">
            <v>36</v>
          </cell>
          <cell r="AD28">
            <v>2</v>
          </cell>
          <cell r="AE28">
            <v>189.4</v>
          </cell>
          <cell r="AG28">
            <v>2</v>
          </cell>
          <cell r="AH28">
            <v>189.4</v>
          </cell>
          <cell r="AI28">
            <v>4.0000000000000001E-3</v>
          </cell>
          <cell r="AJ28">
            <v>2.1779999999999999</v>
          </cell>
          <cell r="AK28">
            <v>824.38</v>
          </cell>
          <cell r="AL28">
            <v>16.420999999999999</v>
          </cell>
          <cell r="AM28">
            <v>7.0000000000000007E-2</v>
          </cell>
        </row>
        <row r="29">
          <cell r="A29" t="str">
            <v>Магазин27 (вул.Радистів буд.14)</v>
          </cell>
          <cell r="B29">
            <v>0.36799999999999999</v>
          </cell>
          <cell r="C29">
            <v>1.728</v>
          </cell>
          <cell r="D29">
            <v>430.29</v>
          </cell>
          <cell r="H29">
            <v>7</v>
          </cell>
          <cell r="I29">
            <v>2</v>
          </cell>
          <cell r="J29">
            <v>211.4</v>
          </cell>
          <cell r="K29">
            <v>73</v>
          </cell>
          <cell r="L29">
            <v>1</v>
          </cell>
          <cell r="M29">
            <v>66.3</v>
          </cell>
          <cell r="N29">
            <v>89</v>
          </cell>
          <cell r="O29">
            <v>2</v>
          </cell>
          <cell r="P29">
            <v>65.8</v>
          </cell>
          <cell r="Q29">
            <v>32</v>
          </cell>
          <cell r="R29">
            <v>1</v>
          </cell>
          <cell r="S29">
            <v>94.7</v>
          </cell>
          <cell r="T29">
            <v>3</v>
          </cell>
          <cell r="U29">
            <v>7</v>
          </cell>
          <cell r="V29">
            <v>536.20000000000005</v>
          </cell>
          <cell r="X29">
            <v>7</v>
          </cell>
          <cell r="Y29">
            <v>175</v>
          </cell>
          <cell r="AC29">
            <v>35</v>
          </cell>
          <cell r="AD29">
            <v>3</v>
          </cell>
          <cell r="AE29">
            <v>284.10000000000002</v>
          </cell>
          <cell r="AF29">
            <v>39</v>
          </cell>
          <cell r="AG29">
            <v>6</v>
          </cell>
          <cell r="AH29">
            <v>568.20000000000005</v>
          </cell>
          <cell r="AJ29">
            <v>2.5419999999999998</v>
          </cell>
          <cell r="AK29">
            <v>962.16</v>
          </cell>
          <cell r="AL29">
            <v>21.242000000000001</v>
          </cell>
          <cell r="AM29">
            <v>0.45800000000000002</v>
          </cell>
        </row>
        <row r="30">
          <cell r="A30" t="str">
            <v>Магазин31 (м.Житомир, вул.Вітрука, буд.19)</v>
          </cell>
          <cell r="B30">
            <v>1.6839999999999999</v>
          </cell>
          <cell r="C30">
            <v>0.86399999999999999</v>
          </cell>
          <cell r="D30">
            <v>215.14</v>
          </cell>
          <cell r="E30">
            <v>0.01</v>
          </cell>
          <cell r="H30">
            <v>14</v>
          </cell>
          <cell r="K30">
            <v>19</v>
          </cell>
          <cell r="N30">
            <v>67</v>
          </cell>
          <cell r="Q30">
            <v>21</v>
          </cell>
          <cell r="T30">
            <v>21</v>
          </cell>
          <cell r="Z30">
            <v>0.4</v>
          </cell>
          <cell r="AC30">
            <v>11</v>
          </cell>
          <cell r="AF30">
            <v>1</v>
          </cell>
          <cell r="AG30">
            <v>1</v>
          </cell>
          <cell r="AH30">
            <v>91.6</v>
          </cell>
          <cell r="AI30">
            <v>0.57199999999999995</v>
          </cell>
          <cell r="AL30">
            <v>6.17</v>
          </cell>
        </row>
        <row r="31">
          <cell r="A31" t="str">
            <v>Магазин32 (вул.Закревського Миколи 47А)</v>
          </cell>
          <cell r="B31">
            <v>1.93</v>
          </cell>
          <cell r="C31">
            <v>1.452</v>
          </cell>
          <cell r="D31">
            <v>361.54</v>
          </cell>
          <cell r="F31">
            <v>0.71599999999999997</v>
          </cell>
          <cell r="G31">
            <v>278.52</v>
          </cell>
          <cell r="H31">
            <v>14</v>
          </cell>
          <cell r="K31">
            <v>52</v>
          </cell>
          <cell r="L31">
            <v>2</v>
          </cell>
          <cell r="M31">
            <v>132.6</v>
          </cell>
          <cell r="N31">
            <v>62</v>
          </cell>
          <cell r="O31">
            <v>6</v>
          </cell>
          <cell r="P31">
            <v>197.4</v>
          </cell>
          <cell r="Q31">
            <v>5</v>
          </cell>
          <cell r="T31">
            <v>17</v>
          </cell>
          <cell r="W31">
            <v>2</v>
          </cell>
          <cell r="X31">
            <v>7</v>
          </cell>
          <cell r="Y31">
            <v>175</v>
          </cell>
          <cell r="Z31">
            <v>0.76</v>
          </cell>
          <cell r="AC31">
            <v>9</v>
          </cell>
          <cell r="AD31">
            <v>2</v>
          </cell>
          <cell r="AE31">
            <v>189.4</v>
          </cell>
          <cell r="AF31">
            <v>33</v>
          </cell>
          <cell r="AG31">
            <v>3</v>
          </cell>
          <cell r="AH31">
            <v>284.10000000000002</v>
          </cell>
          <cell r="AI31">
            <v>1.556</v>
          </cell>
          <cell r="AJ31">
            <v>2.0779999999999998</v>
          </cell>
          <cell r="AK31">
            <v>786.52</v>
          </cell>
          <cell r="AL31">
            <v>13.178000000000001</v>
          </cell>
          <cell r="AM31">
            <v>0.104</v>
          </cell>
        </row>
        <row r="32">
          <cell r="A32" t="str">
            <v>Магазин33 (м.Бровари, вул. Київська,буд.95)</v>
          </cell>
          <cell r="B32">
            <v>4.3999999999999997E-2</v>
          </cell>
          <cell r="C32">
            <v>1.484</v>
          </cell>
          <cell r="D32">
            <v>369.51</v>
          </cell>
          <cell r="H32">
            <v>15</v>
          </cell>
          <cell r="K32">
            <v>45</v>
          </cell>
          <cell r="L32">
            <v>2</v>
          </cell>
          <cell r="M32">
            <v>132.6</v>
          </cell>
          <cell r="N32">
            <v>88</v>
          </cell>
          <cell r="O32">
            <v>1</v>
          </cell>
          <cell r="P32">
            <v>32.9</v>
          </cell>
          <cell r="Q32">
            <v>37</v>
          </cell>
          <cell r="T32">
            <v>23</v>
          </cell>
          <cell r="U32">
            <v>1</v>
          </cell>
          <cell r="V32">
            <v>76.599999999999994</v>
          </cell>
          <cell r="X32">
            <v>4</v>
          </cell>
          <cell r="Y32">
            <v>100</v>
          </cell>
          <cell r="Z32">
            <v>3.16</v>
          </cell>
          <cell r="AC32">
            <v>24</v>
          </cell>
          <cell r="AD32">
            <v>1</v>
          </cell>
          <cell r="AE32">
            <v>94.7</v>
          </cell>
          <cell r="AF32">
            <v>30</v>
          </cell>
          <cell r="AG32">
            <v>1</v>
          </cell>
          <cell r="AH32">
            <v>94.7</v>
          </cell>
          <cell r="AI32">
            <v>0.51200000000000001</v>
          </cell>
          <cell r="AL32">
            <v>17.288</v>
          </cell>
          <cell r="AM32">
            <v>0.46600000000000003</v>
          </cell>
        </row>
        <row r="33">
          <cell r="A33" t="str">
            <v>Магазин35 (вул.О.Пчілки, буд,7-Б)</v>
          </cell>
          <cell r="B33">
            <v>0.70199999999999996</v>
          </cell>
          <cell r="C33">
            <v>2.4380000000000002</v>
          </cell>
          <cell r="D33">
            <v>607.08000000000004</v>
          </cell>
          <cell r="E33">
            <v>2.39</v>
          </cell>
          <cell r="F33">
            <v>0.72</v>
          </cell>
          <cell r="G33">
            <v>280.08</v>
          </cell>
          <cell r="H33">
            <v>11</v>
          </cell>
          <cell r="I33">
            <v>1</v>
          </cell>
          <cell r="J33">
            <v>105.7</v>
          </cell>
          <cell r="K33">
            <v>80</v>
          </cell>
          <cell r="L33">
            <v>5</v>
          </cell>
          <cell r="M33">
            <v>331.5</v>
          </cell>
          <cell r="N33">
            <v>86</v>
          </cell>
          <cell r="Q33">
            <v>34</v>
          </cell>
          <cell r="T33">
            <v>13</v>
          </cell>
          <cell r="U33">
            <v>11</v>
          </cell>
          <cell r="V33">
            <v>842.6</v>
          </cell>
          <cell r="W33">
            <v>7</v>
          </cell>
          <cell r="X33">
            <v>14</v>
          </cell>
          <cell r="Y33">
            <v>350</v>
          </cell>
          <cell r="Z33">
            <v>0.378</v>
          </cell>
          <cell r="AC33">
            <v>13</v>
          </cell>
          <cell r="AD33">
            <v>1</v>
          </cell>
          <cell r="AE33">
            <v>94.7</v>
          </cell>
          <cell r="AF33">
            <v>41</v>
          </cell>
          <cell r="AG33">
            <v>5</v>
          </cell>
          <cell r="AH33">
            <v>473.5</v>
          </cell>
          <cell r="AI33">
            <v>0.84</v>
          </cell>
          <cell r="AJ33">
            <v>2.82</v>
          </cell>
          <cell r="AK33">
            <v>1067.3599999999999</v>
          </cell>
          <cell r="AL33">
            <v>14.254</v>
          </cell>
          <cell r="AM33">
            <v>0.83199999999999996</v>
          </cell>
        </row>
        <row r="34">
          <cell r="A34" t="str">
            <v>Магазин36 (м.Буча, пров.Тихого, буд.4, секц.2, приміщ.236)</v>
          </cell>
          <cell r="C34">
            <v>0.61</v>
          </cell>
          <cell r="D34">
            <v>151.88999999999999</v>
          </cell>
          <cell r="H34">
            <v>14</v>
          </cell>
          <cell r="I34">
            <v>1</v>
          </cell>
          <cell r="J34">
            <v>105.7</v>
          </cell>
          <cell r="K34">
            <v>71</v>
          </cell>
          <cell r="L34">
            <v>3</v>
          </cell>
          <cell r="M34">
            <v>198.9</v>
          </cell>
          <cell r="N34">
            <v>78</v>
          </cell>
          <cell r="O34">
            <v>6</v>
          </cell>
          <cell r="P34">
            <v>197.4</v>
          </cell>
          <cell r="Q34">
            <v>23</v>
          </cell>
          <cell r="R34">
            <v>1</v>
          </cell>
          <cell r="S34">
            <v>94.7</v>
          </cell>
          <cell r="T34">
            <v>37</v>
          </cell>
          <cell r="AC34">
            <v>27</v>
          </cell>
          <cell r="AD34">
            <v>1</v>
          </cell>
          <cell r="AE34">
            <v>94.7</v>
          </cell>
          <cell r="AF34">
            <v>42</v>
          </cell>
          <cell r="AG34">
            <v>2</v>
          </cell>
          <cell r="AH34">
            <v>189.4</v>
          </cell>
          <cell r="AJ34">
            <v>0.38600000000000001</v>
          </cell>
          <cell r="AK34">
            <v>146.1</v>
          </cell>
          <cell r="AL34">
            <v>24.186</v>
          </cell>
          <cell r="AM34">
            <v>0.14399999999999999</v>
          </cell>
        </row>
        <row r="35">
          <cell r="A35" t="str">
            <v>Магазин37 (просп.Повітряних Сил, буд.19-А/1)</v>
          </cell>
          <cell r="B35">
            <v>1.238</v>
          </cell>
          <cell r="C35">
            <v>3.286</v>
          </cell>
          <cell r="D35">
            <v>818.22</v>
          </cell>
          <cell r="H35">
            <v>10</v>
          </cell>
          <cell r="I35">
            <v>1</v>
          </cell>
          <cell r="J35">
            <v>105.7</v>
          </cell>
          <cell r="K35">
            <v>176</v>
          </cell>
          <cell r="L35">
            <v>6</v>
          </cell>
          <cell r="M35">
            <v>397.8</v>
          </cell>
          <cell r="N35">
            <v>85</v>
          </cell>
          <cell r="O35">
            <v>3</v>
          </cell>
          <cell r="P35">
            <v>98.7</v>
          </cell>
          <cell r="Q35">
            <v>33</v>
          </cell>
          <cell r="R35">
            <v>5</v>
          </cell>
          <cell r="S35">
            <v>473.5</v>
          </cell>
          <cell r="T35">
            <v>21</v>
          </cell>
          <cell r="U35">
            <v>6</v>
          </cell>
          <cell r="V35">
            <v>459.6</v>
          </cell>
          <cell r="AA35">
            <v>2.1259999999999999</v>
          </cell>
          <cell r="AB35">
            <v>635.66999999999996</v>
          </cell>
          <cell r="AC35">
            <v>60</v>
          </cell>
          <cell r="AD35">
            <v>3</v>
          </cell>
          <cell r="AE35">
            <v>284.10000000000002</v>
          </cell>
          <cell r="AG35">
            <v>4</v>
          </cell>
          <cell r="AH35">
            <v>378.8</v>
          </cell>
          <cell r="AI35">
            <v>0.55000000000000004</v>
          </cell>
          <cell r="AJ35">
            <v>4.4359999999999999</v>
          </cell>
          <cell r="AK35">
            <v>1679.03</v>
          </cell>
          <cell r="AL35">
            <v>123.21</v>
          </cell>
          <cell r="AM35">
            <v>1.006</v>
          </cell>
        </row>
        <row r="36">
          <cell r="A36" t="str">
            <v>Магазин38 (м.Чернігів, вул.Всіхсвятська, буд 5)</v>
          </cell>
          <cell r="B36">
            <v>0.13600000000000001</v>
          </cell>
          <cell r="C36">
            <v>2.7639999999999998</v>
          </cell>
          <cell r="D36">
            <v>688.23</v>
          </cell>
          <cell r="H36">
            <v>8</v>
          </cell>
          <cell r="K36">
            <v>8</v>
          </cell>
          <cell r="L36">
            <v>4</v>
          </cell>
          <cell r="M36">
            <v>250.4</v>
          </cell>
          <cell r="N36">
            <v>95</v>
          </cell>
          <cell r="O36">
            <v>2</v>
          </cell>
          <cell r="P36">
            <v>65.8</v>
          </cell>
          <cell r="Q36">
            <v>39</v>
          </cell>
          <cell r="R36">
            <v>2</v>
          </cell>
          <cell r="S36">
            <v>183.4</v>
          </cell>
          <cell r="T36">
            <v>9</v>
          </cell>
          <cell r="U36">
            <v>3</v>
          </cell>
          <cell r="V36">
            <v>229.8</v>
          </cell>
          <cell r="X36">
            <v>15</v>
          </cell>
          <cell r="Y36">
            <v>345</v>
          </cell>
          <cell r="Z36">
            <v>2.2519999999999998</v>
          </cell>
          <cell r="AC36">
            <v>13</v>
          </cell>
          <cell r="AF36">
            <v>45</v>
          </cell>
          <cell r="AL36">
            <v>33.048000000000002</v>
          </cell>
        </row>
        <row r="37">
          <cell r="A37" t="str">
            <v>Магазин4/1 (смт.Коцюбинське,вул.Пономарьова,28а)</v>
          </cell>
          <cell r="C37">
            <v>1.054</v>
          </cell>
          <cell r="D37">
            <v>262.45</v>
          </cell>
          <cell r="E37">
            <v>0.69199999999999995</v>
          </cell>
          <cell r="F37">
            <v>2.8079999999999998</v>
          </cell>
          <cell r="G37">
            <v>1092.3</v>
          </cell>
          <cell r="H37">
            <v>14</v>
          </cell>
          <cell r="K37">
            <v>50</v>
          </cell>
          <cell r="N37">
            <v>28</v>
          </cell>
          <cell r="O37">
            <v>1</v>
          </cell>
          <cell r="P37">
            <v>32.9</v>
          </cell>
          <cell r="Q37">
            <v>22</v>
          </cell>
          <cell r="T37">
            <v>15</v>
          </cell>
          <cell r="U37">
            <v>1</v>
          </cell>
          <cell r="V37">
            <v>76.599999999999994</v>
          </cell>
          <cell r="W37">
            <v>3</v>
          </cell>
          <cell r="X37">
            <v>15</v>
          </cell>
          <cell r="Y37">
            <v>375</v>
          </cell>
          <cell r="AC37">
            <v>38</v>
          </cell>
          <cell r="AD37">
            <v>1</v>
          </cell>
          <cell r="AE37">
            <v>94.7</v>
          </cell>
          <cell r="AF37">
            <v>28</v>
          </cell>
          <cell r="AI37">
            <v>0.33800000000000002</v>
          </cell>
          <cell r="AJ37">
            <v>0.94599999999999995</v>
          </cell>
          <cell r="AK37">
            <v>358.06</v>
          </cell>
          <cell r="AL37">
            <v>27.123999999999999</v>
          </cell>
          <cell r="AM37">
            <v>0.14399999999999999</v>
          </cell>
        </row>
        <row r="38">
          <cell r="A38" t="str">
            <v>Магазин40 (м.Біла Церква, вул.Митрофанова, буд.8, прим.1)</v>
          </cell>
          <cell r="B38">
            <v>4.0000000000000001E-3</v>
          </cell>
          <cell r="C38">
            <v>1.1339999999999999</v>
          </cell>
          <cell r="D38">
            <v>282.36</v>
          </cell>
          <cell r="H38">
            <v>7</v>
          </cell>
          <cell r="K38">
            <v>2</v>
          </cell>
          <cell r="L38">
            <v>4</v>
          </cell>
          <cell r="M38">
            <v>250.4</v>
          </cell>
          <cell r="N38">
            <v>123</v>
          </cell>
          <cell r="O38">
            <v>2</v>
          </cell>
          <cell r="P38">
            <v>65.8</v>
          </cell>
          <cell r="Q38">
            <v>24</v>
          </cell>
          <cell r="R38">
            <v>3</v>
          </cell>
          <cell r="S38">
            <v>275.10000000000002</v>
          </cell>
          <cell r="T38">
            <v>17</v>
          </cell>
          <cell r="U38">
            <v>1</v>
          </cell>
          <cell r="V38">
            <v>76.599999999999994</v>
          </cell>
          <cell r="X38">
            <v>30</v>
          </cell>
          <cell r="Y38">
            <v>690</v>
          </cell>
          <cell r="Z38">
            <v>4.0000000000000001E-3</v>
          </cell>
          <cell r="AC38">
            <v>46</v>
          </cell>
          <cell r="AD38">
            <v>1</v>
          </cell>
          <cell r="AE38">
            <v>91.7</v>
          </cell>
          <cell r="AF38">
            <v>50</v>
          </cell>
          <cell r="AG38">
            <v>6</v>
          </cell>
          <cell r="AH38">
            <v>549.6</v>
          </cell>
          <cell r="AI38">
            <v>0.45</v>
          </cell>
          <cell r="AJ38">
            <v>0.49199999999999999</v>
          </cell>
          <cell r="AK38">
            <v>186.22</v>
          </cell>
          <cell r="AL38">
            <v>11.234</v>
          </cell>
          <cell r="AM38">
            <v>0.78800000000000003</v>
          </cell>
        </row>
        <row r="39">
          <cell r="A39" t="str">
            <v>Магазин41 (м. Біла Церква, Сквирське шосе, буд.223)</v>
          </cell>
          <cell r="B39">
            <v>1.9219999999999999</v>
          </cell>
          <cell r="C39">
            <v>2.5139999999999998</v>
          </cell>
          <cell r="D39">
            <v>625.98</v>
          </cell>
          <cell r="E39">
            <v>2.79</v>
          </cell>
          <cell r="H39">
            <v>13</v>
          </cell>
          <cell r="K39">
            <v>15</v>
          </cell>
          <cell r="N39">
            <v>46</v>
          </cell>
          <cell r="O39">
            <v>1</v>
          </cell>
          <cell r="P39">
            <v>32.9</v>
          </cell>
          <cell r="Q39">
            <v>32</v>
          </cell>
          <cell r="R39">
            <v>1</v>
          </cell>
          <cell r="S39">
            <v>91.7</v>
          </cell>
          <cell r="T39">
            <v>20</v>
          </cell>
          <cell r="U39">
            <v>1</v>
          </cell>
          <cell r="V39">
            <v>76.599999999999994</v>
          </cell>
          <cell r="W39">
            <v>2</v>
          </cell>
          <cell r="X39">
            <v>11</v>
          </cell>
          <cell r="Y39">
            <v>253</v>
          </cell>
          <cell r="AC39">
            <v>40</v>
          </cell>
          <cell r="AD39">
            <v>1</v>
          </cell>
          <cell r="AE39">
            <v>91.7</v>
          </cell>
          <cell r="AF39">
            <v>24</v>
          </cell>
          <cell r="AG39">
            <v>1</v>
          </cell>
          <cell r="AH39">
            <v>91.6</v>
          </cell>
          <cell r="AI39">
            <v>0.41199999999999998</v>
          </cell>
          <cell r="AL39">
            <v>14.321999999999999</v>
          </cell>
          <cell r="AM39">
            <v>0.21199999999999999</v>
          </cell>
        </row>
        <row r="40">
          <cell r="A40" t="str">
            <v>Магазин42 (с.Гора, вул.Центральна, буд.20-А)</v>
          </cell>
          <cell r="B40">
            <v>0.214</v>
          </cell>
          <cell r="C40">
            <v>2.794</v>
          </cell>
          <cell r="D40">
            <v>695.71</v>
          </cell>
          <cell r="F40">
            <v>5.6000000000000001E-2</v>
          </cell>
          <cell r="G40">
            <v>21.78</v>
          </cell>
          <cell r="H40">
            <v>10</v>
          </cell>
          <cell r="I40">
            <v>1</v>
          </cell>
          <cell r="J40">
            <v>105.7</v>
          </cell>
          <cell r="K40">
            <v>80</v>
          </cell>
          <cell r="L40">
            <v>2</v>
          </cell>
          <cell r="M40">
            <v>132.6</v>
          </cell>
          <cell r="N40">
            <v>117</v>
          </cell>
          <cell r="O40">
            <v>4</v>
          </cell>
          <cell r="P40">
            <v>131.6</v>
          </cell>
          <cell r="Q40">
            <v>46</v>
          </cell>
          <cell r="T40">
            <v>17</v>
          </cell>
          <cell r="U40">
            <v>3</v>
          </cell>
          <cell r="V40">
            <v>229.8</v>
          </cell>
          <cell r="X40">
            <v>27</v>
          </cell>
          <cell r="Y40">
            <v>675</v>
          </cell>
          <cell r="Z40">
            <v>0.214</v>
          </cell>
          <cell r="AA40">
            <v>0.39</v>
          </cell>
          <cell r="AB40">
            <v>116.61</v>
          </cell>
          <cell r="AC40">
            <v>39</v>
          </cell>
          <cell r="AD40">
            <v>1</v>
          </cell>
          <cell r="AE40">
            <v>94.7</v>
          </cell>
          <cell r="AG40">
            <v>1</v>
          </cell>
          <cell r="AH40">
            <v>94.7</v>
          </cell>
          <cell r="AI40">
            <v>4.0000000000000001E-3</v>
          </cell>
          <cell r="AJ40">
            <v>4.9580000000000002</v>
          </cell>
          <cell r="AK40">
            <v>1876.59</v>
          </cell>
          <cell r="AL40">
            <v>32.423999999999999</v>
          </cell>
          <cell r="AM40">
            <v>0.98</v>
          </cell>
        </row>
        <row r="41">
          <cell r="A41" t="str">
            <v>Магазин43 (м.Боярка, вул Бульварна,буд 2/50)</v>
          </cell>
          <cell r="B41">
            <v>1.452</v>
          </cell>
          <cell r="C41">
            <v>1.274</v>
          </cell>
          <cell r="D41">
            <v>317.22000000000003</v>
          </cell>
          <cell r="H41">
            <v>8</v>
          </cell>
          <cell r="K41">
            <v>86</v>
          </cell>
          <cell r="L41">
            <v>3</v>
          </cell>
          <cell r="M41">
            <v>198.9</v>
          </cell>
          <cell r="N41">
            <v>75</v>
          </cell>
          <cell r="O41">
            <v>1</v>
          </cell>
          <cell r="P41">
            <v>32.9</v>
          </cell>
          <cell r="Q41">
            <v>22</v>
          </cell>
          <cell r="T41">
            <v>19</v>
          </cell>
          <cell r="U41">
            <v>3</v>
          </cell>
          <cell r="V41">
            <v>229.8</v>
          </cell>
          <cell r="X41">
            <v>6</v>
          </cell>
          <cell r="Y41">
            <v>150</v>
          </cell>
          <cell r="Z41">
            <v>3.98</v>
          </cell>
          <cell r="AC41">
            <v>33</v>
          </cell>
          <cell r="AF41">
            <v>35</v>
          </cell>
          <cell r="AI41">
            <v>0.96</v>
          </cell>
          <cell r="AJ41">
            <v>1.002</v>
          </cell>
          <cell r="AK41">
            <v>379.25</v>
          </cell>
          <cell r="AL41">
            <v>29.757999999999999</v>
          </cell>
          <cell r="AM41">
            <v>0.106</v>
          </cell>
        </row>
        <row r="42">
          <cell r="A42" t="str">
            <v>Розпод. центр Легіон (с.Білогородка, вул Аграрна, буд 1 А)</v>
          </cell>
          <cell r="N42">
            <v>2833</v>
          </cell>
          <cell r="T42">
            <v>1152</v>
          </cell>
        </row>
        <row r="43">
          <cell r="A43" t="str">
            <v>Розпод. центр Рідо (с.Білогородка, вул Аграрна, буд 1 А)</v>
          </cell>
          <cell r="T43">
            <v>1104</v>
          </cell>
        </row>
        <row r="44">
          <cell r="A44" t="str">
            <v>Итого</v>
          </cell>
          <cell r="B44">
            <v>30.242999999999999</v>
          </cell>
          <cell r="C44">
            <v>78.197999999999993</v>
          </cell>
          <cell r="D44">
            <v>19471.3</v>
          </cell>
          <cell r="E44">
            <v>14.74</v>
          </cell>
          <cell r="F44">
            <v>27.884</v>
          </cell>
          <cell r="G44">
            <v>10776.3</v>
          </cell>
          <cell r="H44">
            <v>365</v>
          </cell>
          <cell r="I44">
            <v>45</v>
          </cell>
          <cell r="J44">
            <v>4743.7</v>
          </cell>
          <cell r="K44">
            <v>2793</v>
          </cell>
          <cell r="L44">
            <v>99</v>
          </cell>
          <cell r="M44">
            <v>6530.79</v>
          </cell>
          <cell r="N44">
            <v>5555</v>
          </cell>
          <cell r="O44">
            <v>87</v>
          </cell>
          <cell r="P44">
            <v>2862.3</v>
          </cell>
          <cell r="Q44">
            <v>925</v>
          </cell>
          <cell r="R44">
            <v>42</v>
          </cell>
          <cell r="S44">
            <v>3953.4</v>
          </cell>
          <cell r="T44">
            <v>3025</v>
          </cell>
          <cell r="U44">
            <v>118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 refreshError="1">
        <row r="1">
          <cell r="B1">
            <v>45306</v>
          </cell>
          <cell r="E1">
            <v>56579</v>
          </cell>
          <cell r="H1">
            <v>64445</v>
          </cell>
          <cell r="K1">
            <v>63274</v>
          </cell>
          <cell r="N1">
            <v>63093</v>
          </cell>
          <cell r="Q1">
            <v>61183</v>
          </cell>
          <cell r="T1">
            <v>63630</v>
          </cell>
          <cell r="W1">
            <v>22769</v>
          </cell>
          <cell r="Z1">
            <v>64322</v>
          </cell>
          <cell r="AC1">
            <v>50768</v>
          </cell>
          <cell r="AF1">
            <v>19129</v>
          </cell>
          <cell r="AI1">
            <v>14286</v>
          </cell>
          <cell r="AL1">
            <v>11042</v>
          </cell>
        </row>
        <row r="3">
          <cell r="B3" t="str">
            <v>Ковбаса Баликова н/к 1г ваг (Власн.вироб)</v>
          </cell>
          <cell r="E3" t="str">
            <v>Котлета куряча смажена охол.ваг НЕ ПАРСЯ</v>
          </cell>
          <cell r="H3" t="str">
            <v>Масло L`extra солодковершкове  Екстра 82% 180г</v>
          </cell>
          <cell r="K3" t="str">
            <v>Молоко Ферма ультрапастеризоване 2,5% TF 900г</v>
          </cell>
          <cell r="N3" t="str">
            <v>Напій Pulse Mango енерг.б/а 250мл</v>
          </cell>
          <cell r="Q3" t="str">
            <v>Нектар Jaffa Мультифруктовий Тропічні фрукти т/п 0,95л</v>
          </cell>
          <cell r="T3" t="str">
            <v>Пиво Grimbergen Бланш 6% з/б 0,5л</v>
          </cell>
          <cell r="W3" t="str">
            <v>Плюшка маленька з цукром 120г (Власн.вироб)</v>
          </cell>
          <cell r="Z3" t="str">
            <v>Сардельки Фірмові з сиром в/к 1г ваг(Власн.вироб)</v>
          </cell>
          <cell r="AC3" t="str">
            <v>Сік Jaffa Томат з морською сіллю т/п 1л</v>
          </cell>
          <cell r="AF3" t="str">
            <v>Сосиски Ранчо з яловичиною в/г п/а 275г</v>
          </cell>
          <cell r="AI3" t="str">
            <v>Торт Наполеон ваг (Власн.вироб)</v>
          </cell>
          <cell r="AL3" t="str">
            <v>Цукерки Конті Шоколадні історії Джек ваг</v>
          </cell>
        </row>
        <row r="6">
          <cell r="A6" t="str">
            <v>Магазин 1/1 (м.Житомир, пр-т Миру, буд.15 )</v>
          </cell>
          <cell r="B6">
            <v>2.0990000000000002</v>
          </cell>
          <cell r="C6">
            <v>4.8360000000000003</v>
          </cell>
          <cell r="D6">
            <v>1204.18</v>
          </cell>
          <cell r="E6">
            <v>0.36399999999999999</v>
          </cell>
          <cell r="F6">
            <v>1.786</v>
          </cell>
          <cell r="G6">
            <v>426.85</v>
          </cell>
          <cell r="I6">
            <v>8</v>
          </cell>
          <cell r="J6">
            <v>591.20000000000005</v>
          </cell>
          <cell r="L6">
            <v>120</v>
          </cell>
          <cell r="M6">
            <v>4788</v>
          </cell>
          <cell r="N6">
            <v>47</v>
          </cell>
          <cell r="O6">
            <v>44</v>
          </cell>
          <cell r="P6">
            <v>1007.6</v>
          </cell>
          <cell r="R6">
            <v>14</v>
          </cell>
          <cell r="S6">
            <v>838.6</v>
          </cell>
          <cell r="T6">
            <v>12</v>
          </cell>
          <cell r="U6">
            <v>18</v>
          </cell>
          <cell r="V6">
            <v>898.2</v>
          </cell>
          <cell r="W6">
            <v>-18</v>
          </cell>
          <cell r="X6">
            <v>217</v>
          </cell>
          <cell r="Y6">
            <v>3797.5</v>
          </cell>
          <cell r="Z6">
            <v>1.5980000000000001</v>
          </cell>
          <cell r="AA6">
            <v>2.3879999999999999</v>
          </cell>
          <cell r="AB6">
            <v>570.73</v>
          </cell>
          <cell r="AD6">
            <v>14</v>
          </cell>
          <cell r="AE6">
            <v>838.6</v>
          </cell>
          <cell r="AF6">
            <v>25</v>
          </cell>
          <cell r="AG6">
            <v>32</v>
          </cell>
          <cell r="AH6">
            <v>2076.8000000000002</v>
          </cell>
          <cell r="AI6">
            <v>1.3520000000000001</v>
          </cell>
          <cell r="AJ6">
            <v>13.683999999999999</v>
          </cell>
          <cell r="AK6">
            <v>3544.14</v>
          </cell>
          <cell r="AL6">
            <v>28.626000000000001</v>
          </cell>
          <cell r="AM6">
            <v>25.776</v>
          </cell>
        </row>
        <row r="7">
          <cell r="A7" t="str">
            <v>Магазин 2 (вул.Володимирська 73/77)</v>
          </cell>
          <cell r="B7">
            <v>4.7679999999999998</v>
          </cell>
          <cell r="C7">
            <v>2.508</v>
          </cell>
          <cell r="D7">
            <v>624.51</v>
          </cell>
          <cell r="E7">
            <v>3.7999999999999999E-2</v>
          </cell>
          <cell r="F7">
            <v>6.5780000000000003</v>
          </cell>
          <cell r="G7">
            <v>1572.13</v>
          </cell>
          <cell r="I7">
            <v>8</v>
          </cell>
          <cell r="J7">
            <v>591.20000000000005</v>
          </cell>
          <cell r="L7">
            <v>44</v>
          </cell>
          <cell r="M7">
            <v>1755.6</v>
          </cell>
          <cell r="N7">
            <v>42</v>
          </cell>
          <cell r="O7">
            <v>5</v>
          </cell>
          <cell r="P7">
            <v>114.5</v>
          </cell>
          <cell r="Q7">
            <v>3</v>
          </cell>
          <cell r="R7">
            <v>16</v>
          </cell>
          <cell r="S7">
            <v>958.4</v>
          </cell>
          <cell r="T7">
            <v>6</v>
          </cell>
          <cell r="U7">
            <v>9</v>
          </cell>
          <cell r="V7">
            <v>449.1</v>
          </cell>
          <cell r="W7">
            <v>15</v>
          </cell>
          <cell r="X7">
            <v>34</v>
          </cell>
          <cell r="Y7">
            <v>595</v>
          </cell>
          <cell r="Z7">
            <v>4.8460000000000001</v>
          </cell>
          <cell r="AA7">
            <v>2.8420000000000001</v>
          </cell>
          <cell r="AB7">
            <v>679.24</v>
          </cell>
          <cell r="AC7">
            <v>17</v>
          </cell>
          <cell r="AD7">
            <v>8</v>
          </cell>
          <cell r="AE7">
            <v>479.2</v>
          </cell>
          <cell r="AF7">
            <v>12</v>
          </cell>
          <cell r="AG7">
            <v>22</v>
          </cell>
          <cell r="AH7">
            <v>1427.8</v>
          </cell>
          <cell r="AI7">
            <v>3.1419999999999999</v>
          </cell>
          <cell r="AJ7">
            <v>5.47</v>
          </cell>
          <cell r="AK7">
            <v>1416.73</v>
          </cell>
          <cell r="AL7">
            <v>7.8380000000000001</v>
          </cell>
          <cell r="AM7">
            <v>6.8079999999999998</v>
          </cell>
        </row>
        <row r="8">
          <cell r="A8" t="str">
            <v>Магазин 3 (вул.Раїси Окипної буд.3)</v>
          </cell>
          <cell r="B8">
            <v>1.766</v>
          </cell>
          <cell r="C8">
            <v>1.498</v>
          </cell>
          <cell r="D8">
            <v>373.01</v>
          </cell>
          <cell r="F8">
            <v>3.5920000000000001</v>
          </cell>
          <cell r="G8">
            <v>806.36</v>
          </cell>
          <cell r="H8">
            <v>8</v>
          </cell>
          <cell r="I8">
            <v>22</v>
          </cell>
          <cell r="J8">
            <v>1625.8</v>
          </cell>
          <cell r="K8">
            <v>38</v>
          </cell>
          <cell r="L8">
            <v>32</v>
          </cell>
          <cell r="M8">
            <v>1276.8</v>
          </cell>
          <cell r="N8">
            <v>76</v>
          </cell>
          <cell r="O8">
            <v>6</v>
          </cell>
          <cell r="P8">
            <v>137.4</v>
          </cell>
          <cell r="Q8">
            <v>20</v>
          </cell>
          <cell r="R8">
            <v>3</v>
          </cell>
          <cell r="S8">
            <v>179.7</v>
          </cell>
          <cell r="U8">
            <v>3</v>
          </cell>
          <cell r="V8">
            <v>149.69999999999999</v>
          </cell>
          <cell r="W8">
            <v>8</v>
          </cell>
          <cell r="X8">
            <v>57</v>
          </cell>
          <cell r="Y8">
            <v>997.5</v>
          </cell>
          <cell r="Z8">
            <v>1.92</v>
          </cell>
          <cell r="AA8">
            <v>1.966</v>
          </cell>
          <cell r="AB8">
            <v>469.87</v>
          </cell>
          <cell r="AC8">
            <v>19</v>
          </cell>
          <cell r="AD8">
            <v>5</v>
          </cell>
          <cell r="AE8">
            <v>299.5</v>
          </cell>
          <cell r="AF8">
            <v>8</v>
          </cell>
          <cell r="AG8">
            <v>41</v>
          </cell>
          <cell r="AH8">
            <v>2660.9</v>
          </cell>
          <cell r="AI8">
            <v>2E-3</v>
          </cell>
          <cell r="AJ8">
            <v>8.1059999999999999</v>
          </cell>
          <cell r="AK8">
            <v>2099.46</v>
          </cell>
          <cell r="AL8">
            <v>9.8460000000000001</v>
          </cell>
          <cell r="AM8">
            <v>1.976</v>
          </cell>
        </row>
        <row r="9">
          <cell r="A9" t="str">
            <v>Магазин 5 (вул.Якуба Коласа 2 (Літера А))</v>
          </cell>
          <cell r="B9">
            <v>1.8959999999999999</v>
          </cell>
          <cell r="C9">
            <v>2.0099999999999998</v>
          </cell>
          <cell r="D9">
            <v>500.49</v>
          </cell>
          <cell r="E9">
            <v>1.0960000000000001</v>
          </cell>
          <cell r="F9">
            <v>3.1920000000000002</v>
          </cell>
          <cell r="G9">
            <v>745.58</v>
          </cell>
          <cell r="H9">
            <v>9</v>
          </cell>
          <cell r="I9">
            <v>5</v>
          </cell>
          <cell r="J9">
            <v>369.5</v>
          </cell>
          <cell r="K9">
            <v>8</v>
          </cell>
          <cell r="L9">
            <v>27</v>
          </cell>
          <cell r="M9">
            <v>1077.3</v>
          </cell>
          <cell r="N9">
            <v>21</v>
          </cell>
          <cell r="O9">
            <v>6</v>
          </cell>
          <cell r="P9">
            <v>137.4</v>
          </cell>
          <cell r="Q9">
            <v>6</v>
          </cell>
          <cell r="R9">
            <v>13</v>
          </cell>
          <cell r="S9">
            <v>778.7</v>
          </cell>
          <cell r="T9">
            <v>19</v>
          </cell>
          <cell r="U9">
            <v>8</v>
          </cell>
          <cell r="V9">
            <v>399.2</v>
          </cell>
          <cell r="W9">
            <v>13</v>
          </cell>
          <cell r="X9">
            <v>15</v>
          </cell>
          <cell r="Y9">
            <v>262.5</v>
          </cell>
          <cell r="Z9">
            <v>2.0059999999999998</v>
          </cell>
          <cell r="AA9">
            <v>2.7679999999999998</v>
          </cell>
          <cell r="AB9">
            <v>661.55</v>
          </cell>
          <cell r="AC9">
            <v>20</v>
          </cell>
          <cell r="AD9">
            <v>15</v>
          </cell>
          <cell r="AE9">
            <v>898.5</v>
          </cell>
          <cell r="AF9">
            <v>10</v>
          </cell>
          <cell r="AG9">
            <v>24</v>
          </cell>
          <cell r="AH9">
            <v>1557.6</v>
          </cell>
          <cell r="AJ9">
            <v>10.15</v>
          </cell>
          <cell r="AK9">
            <v>2628.85</v>
          </cell>
          <cell r="AL9">
            <v>8.8420000000000005</v>
          </cell>
          <cell r="AM9">
            <v>7.8239999999999998</v>
          </cell>
        </row>
        <row r="10">
          <cell r="A10" t="str">
            <v>Магазин 6 (вул. Сікорского буд.1А)</v>
          </cell>
          <cell r="B10">
            <v>2.3039999999999998</v>
          </cell>
          <cell r="C10">
            <v>3.1760000000000002</v>
          </cell>
          <cell r="D10">
            <v>790.81</v>
          </cell>
          <cell r="F10">
            <v>4.2880000000000003</v>
          </cell>
          <cell r="G10">
            <v>1007.9</v>
          </cell>
          <cell r="H10">
            <v>20</v>
          </cell>
          <cell r="I10">
            <v>49</v>
          </cell>
          <cell r="J10">
            <v>3621.1</v>
          </cell>
          <cell r="K10">
            <v>25</v>
          </cell>
          <cell r="L10">
            <v>162</v>
          </cell>
          <cell r="M10">
            <v>6463.8</v>
          </cell>
          <cell r="N10">
            <v>104</v>
          </cell>
          <cell r="O10">
            <v>51</v>
          </cell>
          <cell r="P10">
            <v>1167.9000000000001</v>
          </cell>
          <cell r="Q10">
            <v>7</v>
          </cell>
          <cell r="R10">
            <v>41</v>
          </cell>
          <cell r="S10">
            <v>2455.9</v>
          </cell>
          <cell r="U10">
            <v>48</v>
          </cell>
          <cell r="V10">
            <v>2395.1999999999998</v>
          </cell>
          <cell r="W10">
            <v>10</v>
          </cell>
          <cell r="X10">
            <v>76</v>
          </cell>
          <cell r="Y10">
            <v>1330</v>
          </cell>
          <cell r="Z10">
            <v>0.44400000000000001</v>
          </cell>
          <cell r="AA10">
            <v>4.4480000000000004</v>
          </cell>
          <cell r="AB10">
            <v>1063.07</v>
          </cell>
          <cell r="AC10">
            <v>12</v>
          </cell>
          <cell r="AD10">
            <v>39</v>
          </cell>
          <cell r="AE10">
            <v>2336.1</v>
          </cell>
          <cell r="AF10">
            <v>22</v>
          </cell>
          <cell r="AG10">
            <v>33</v>
          </cell>
          <cell r="AH10">
            <v>2141.6999999999998</v>
          </cell>
          <cell r="AI10">
            <v>1.212</v>
          </cell>
          <cell r="AJ10">
            <v>13.098000000000001</v>
          </cell>
          <cell r="AK10">
            <v>3392.36</v>
          </cell>
          <cell r="AL10">
            <v>16.898</v>
          </cell>
          <cell r="AM10">
            <v>16.422000000000001</v>
          </cell>
        </row>
        <row r="11">
          <cell r="A11" t="str">
            <v>Магазин 7 (вул. Є.Коновальця, буд 44-б)</v>
          </cell>
          <cell r="B11">
            <v>1.1439999999999999</v>
          </cell>
          <cell r="C11">
            <v>1.1060000000000001</v>
          </cell>
          <cell r="D11">
            <v>275.39</v>
          </cell>
          <cell r="E11">
            <v>0.72799999999999998</v>
          </cell>
          <cell r="F11">
            <v>1.42</v>
          </cell>
          <cell r="G11">
            <v>339.37</v>
          </cell>
          <cell r="I11">
            <v>3</v>
          </cell>
          <cell r="J11">
            <v>221.7</v>
          </cell>
          <cell r="L11">
            <v>29</v>
          </cell>
          <cell r="M11">
            <v>1157.0999999999999</v>
          </cell>
          <cell r="N11">
            <v>46</v>
          </cell>
          <cell r="O11">
            <v>12</v>
          </cell>
          <cell r="P11">
            <v>274.8</v>
          </cell>
          <cell r="Q11">
            <v>8</v>
          </cell>
          <cell r="R11">
            <v>13</v>
          </cell>
          <cell r="S11">
            <v>778.7</v>
          </cell>
          <cell r="T11">
            <v>25</v>
          </cell>
          <cell r="U11">
            <v>1</v>
          </cell>
          <cell r="V11">
            <v>49.9</v>
          </cell>
          <cell r="X11">
            <v>20</v>
          </cell>
          <cell r="Y11">
            <v>350</v>
          </cell>
          <cell r="Z11">
            <v>1.0980000000000001</v>
          </cell>
          <cell r="AA11">
            <v>2.3980000000000001</v>
          </cell>
          <cell r="AB11">
            <v>573.12</v>
          </cell>
          <cell r="AC11">
            <v>23</v>
          </cell>
          <cell r="AD11">
            <v>17</v>
          </cell>
          <cell r="AE11">
            <v>1018.3</v>
          </cell>
          <cell r="AF11">
            <v>17</v>
          </cell>
          <cell r="AG11">
            <v>24</v>
          </cell>
          <cell r="AH11">
            <v>1557.6</v>
          </cell>
          <cell r="AJ11">
            <v>2.9780000000000002</v>
          </cell>
          <cell r="AK11">
            <v>771.31</v>
          </cell>
          <cell r="AL11">
            <v>8.0500000000000007</v>
          </cell>
          <cell r="AM11">
            <v>2.7839999999999998</v>
          </cell>
        </row>
        <row r="12">
          <cell r="A12" t="str">
            <v>Магазин 8 (м.Ірпінь, вул.10 Лінія, буд.1 б)</v>
          </cell>
          <cell r="B12">
            <v>1</v>
          </cell>
          <cell r="C12">
            <v>2.8639999999999999</v>
          </cell>
          <cell r="D12">
            <v>713.13</v>
          </cell>
          <cell r="E12">
            <v>0.36799999999999999</v>
          </cell>
          <cell r="F12">
            <v>1.0980000000000001</v>
          </cell>
          <cell r="G12">
            <v>227.24</v>
          </cell>
          <cell r="I12">
            <v>11</v>
          </cell>
          <cell r="J12">
            <v>812.9</v>
          </cell>
          <cell r="K12">
            <v>11</v>
          </cell>
          <cell r="L12">
            <v>119</v>
          </cell>
          <cell r="M12">
            <v>4748.1000000000004</v>
          </cell>
          <cell r="N12">
            <v>164</v>
          </cell>
          <cell r="O12">
            <v>35</v>
          </cell>
          <cell r="P12">
            <v>801.5</v>
          </cell>
          <cell r="Q12">
            <v>13</v>
          </cell>
          <cell r="R12">
            <v>13</v>
          </cell>
          <cell r="S12">
            <v>778.7</v>
          </cell>
          <cell r="U12">
            <v>22</v>
          </cell>
          <cell r="V12">
            <v>1097.8</v>
          </cell>
          <cell r="W12">
            <v>12</v>
          </cell>
          <cell r="X12">
            <v>48</v>
          </cell>
          <cell r="Y12">
            <v>840</v>
          </cell>
          <cell r="Z12">
            <v>0.41</v>
          </cell>
          <cell r="AA12">
            <v>2.794</v>
          </cell>
          <cell r="AB12">
            <v>667.78</v>
          </cell>
          <cell r="AC12">
            <v>29</v>
          </cell>
          <cell r="AD12">
            <v>9</v>
          </cell>
          <cell r="AE12">
            <v>539.1</v>
          </cell>
          <cell r="AF12">
            <v>17</v>
          </cell>
          <cell r="AG12">
            <v>23</v>
          </cell>
          <cell r="AH12">
            <v>1492.7</v>
          </cell>
          <cell r="AI12">
            <v>-2E-3</v>
          </cell>
          <cell r="AJ12">
            <v>13.35</v>
          </cell>
          <cell r="AK12">
            <v>3457.62</v>
          </cell>
          <cell r="AL12">
            <v>23.178000000000001</v>
          </cell>
          <cell r="AM12">
            <v>13.378</v>
          </cell>
        </row>
        <row r="13">
          <cell r="A13" t="str">
            <v>Магазин 9/1 (вул.Сім'ї Ідзиковських, 4)</v>
          </cell>
          <cell r="B13">
            <v>2.1800000000000002</v>
          </cell>
          <cell r="C13">
            <v>2.39</v>
          </cell>
          <cell r="D13">
            <v>595.1</v>
          </cell>
          <cell r="F13">
            <v>1.472</v>
          </cell>
          <cell r="G13">
            <v>334.12</v>
          </cell>
          <cell r="H13">
            <v>13</v>
          </cell>
          <cell r="I13">
            <v>13</v>
          </cell>
          <cell r="J13">
            <v>960.7</v>
          </cell>
          <cell r="L13">
            <v>47</v>
          </cell>
          <cell r="M13">
            <v>1875.3</v>
          </cell>
          <cell r="N13">
            <v>13</v>
          </cell>
          <cell r="O13">
            <v>14</v>
          </cell>
          <cell r="P13">
            <v>320.60000000000002</v>
          </cell>
          <cell r="Q13">
            <v>5</v>
          </cell>
          <cell r="R13">
            <v>17</v>
          </cell>
          <cell r="S13">
            <v>1018.3</v>
          </cell>
          <cell r="T13">
            <v>4</v>
          </cell>
          <cell r="U13">
            <v>6</v>
          </cell>
          <cell r="V13">
            <v>299.39999999999998</v>
          </cell>
          <cell r="W13">
            <v>19</v>
          </cell>
          <cell r="X13">
            <v>50</v>
          </cell>
          <cell r="Y13">
            <v>875</v>
          </cell>
          <cell r="Z13">
            <v>1.9119999999999999</v>
          </cell>
          <cell r="AA13">
            <v>1.224</v>
          </cell>
          <cell r="AB13">
            <v>292.54000000000002</v>
          </cell>
          <cell r="AC13">
            <v>5</v>
          </cell>
          <cell r="AD13">
            <v>34</v>
          </cell>
          <cell r="AE13">
            <v>2036.6</v>
          </cell>
          <cell r="AF13">
            <v>6</v>
          </cell>
          <cell r="AG13">
            <v>25</v>
          </cell>
          <cell r="AH13">
            <v>1622.5</v>
          </cell>
          <cell r="AI13">
            <v>2.4E-2</v>
          </cell>
          <cell r="AJ13">
            <v>12.976000000000001</v>
          </cell>
          <cell r="AK13">
            <v>3360.79</v>
          </cell>
          <cell r="AL13">
            <v>15.55</v>
          </cell>
          <cell r="AM13">
            <v>15.178000000000001</v>
          </cell>
        </row>
        <row r="14">
          <cell r="A14" t="str">
            <v>Магазин10 (пр.Володимира Івасюка, буд.65-б)</v>
          </cell>
          <cell r="B14">
            <v>3.0619999999999998</v>
          </cell>
          <cell r="C14">
            <v>3.92</v>
          </cell>
          <cell r="D14">
            <v>976.08</v>
          </cell>
          <cell r="E14">
            <v>1.4359999999999999</v>
          </cell>
          <cell r="F14">
            <v>4.96</v>
          </cell>
          <cell r="G14">
            <v>1100.3399999999999</v>
          </cell>
          <cell r="I14">
            <v>18</v>
          </cell>
          <cell r="J14">
            <v>1330.2</v>
          </cell>
          <cell r="K14">
            <v>3</v>
          </cell>
          <cell r="L14">
            <v>194</v>
          </cell>
          <cell r="M14">
            <v>7740.6</v>
          </cell>
          <cell r="N14">
            <v>50</v>
          </cell>
          <cell r="O14">
            <v>4</v>
          </cell>
          <cell r="P14">
            <v>91.6</v>
          </cell>
          <cell r="Q14">
            <v>4</v>
          </cell>
          <cell r="R14">
            <v>16</v>
          </cell>
          <cell r="S14">
            <v>958.4</v>
          </cell>
          <cell r="T14">
            <v>15</v>
          </cell>
          <cell r="U14">
            <v>4</v>
          </cell>
          <cell r="V14">
            <v>199.6</v>
          </cell>
          <cell r="W14">
            <v>7</v>
          </cell>
          <cell r="X14">
            <v>69</v>
          </cell>
          <cell r="Y14">
            <v>1207.5</v>
          </cell>
          <cell r="Z14">
            <v>-2.5999999999999999E-2</v>
          </cell>
          <cell r="AA14">
            <v>7.2</v>
          </cell>
          <cell r="AB14">
            <v>1720.79</v>
          </cell>
          <cell r="AC14">
            <v>1</v>
          </cell>
          <cell r="AD14">
            <v>22</v>
          </cell>
          <cell r="AE14">
            <v>1317.8</v>
          </cell>
          <cell r="AF14">
            <v>7</v>
          </cell>
          <cell r="AG14">
            <v>42</v>
          </cell>
          <cell r="AH14">
            <v>2725.8</v>
          </cell>
          <cell r="AJ14">
            <v>8.8520000000000003</v>
          </cell>
          <cell r="AK14">
            <v>2292.67</v>
          </cell>
          <cell r="AL14">
            <v>3.2</v>
          </cell>
          <cell r="AM14">
            <v>13.651999999999999</v>
          </cell>
        </row>
        <row r="15">
          <cell r="A15" t="str">
            <v>Магазин11/1 (вул. Автозаводська, 27)</v>
          </cell>
          <cell r="B15">
            <v>1.65</v>
          </cell>
          <cell r="C15">
            <v>3.698</v>
          </cell>
          <cell r="D15">
            <v>920.81</v>
          </cell>
          <cell r="F15">
            <v>2.9079999999999999</v>
          </cell>
          <cell r="G15">
            <v>678.18</v>
          </cell>
          <cell r="I15">
            <v>13</v>
          </cell>
          <cell r="J15">
            <v>960.7</v>
          </cell>
          <cell r="K15">
            <v>43</v>
          </cell>
          <cell r="L15">
            <v>50</v>
          </cell>
          <cell r="M15">
            <v>1995</v>
          </cell>
          <cell r="O15">
            <v>7</v>
          </cell>
          <cell r="P15">
            <v>160.30000000000001</v>
          </cell>
          <cell r="Q15">
            <v>5</v>
          </cell>
          <cell r="R15">
            <v>20</v>
          </cell>
          <cell r="S15">
            <v>1198</v>
          </cell>
          <cell r="U15">
            <v>17</v>
          </cell>
          <cell r="V15">
            <v>848.3</v>
          </cell>
          <cell r="W15">
            <v>3</v>
          </cell>
          <cell r="X15">
            <v>15</v>
          </cell>
          <cell r="Y15">
            <v>262.5</v>
          </cell>
          <cell r="Z15">
            <v>1.214</v>
          </cell>
          <cell r="AA15">
            <v>2.8119999999999998</v>
          </cell>
          <cell r="AB15">
            <v>672.07</v>
          </cell>
          <cell r="AC15">
            <v>11</v>
          </cell>
          <cell r="AD15">
            <v>22</v>
          </cell>
          <cell r="AE15">
            <v>1317.8</v>
          </cell>
          <cell r="AF15">
            <v>9</v>
          </cell>
          <cell r="AG15">
            <v>26</v>
          </cell>
          <cell r="AH15">
            <v>1687.4</v>
          </cell>
          <cell r="AI15">
            <v>6.0000000000000001E-3</v>
          </cell>
          <cell r="AJ15">
            <v>7.492</v>
          </cell>
          <cell r="AK15">
            <v>1940.42</v>
          </cell>
          <cell r="AL15">
            <v>19.524000000000001</v>
          </cell>
          <cell r="AM15">
            <v>1.1579999999999999</v>
          </cell>
        </row>
        <row r="16">
          <cell r="A16" t="str">
            <v>Магазин12 (вул.Антоновича, буд.115-Д)</v>
          </cell>
          <cell r="B16">
            <v>0.61899999999999999</v>
          </cell>
          <cell r="C16">
            <v>13.054</v>
          </cell>
          <cell r="D16">
            <v>3250.45</v>
          </cell>
          <cell r="E16">
            <v>7.609</v>
          </cell>
          <cell r="F16">
            <v>31.754000000000001</v>
          </cell>
          <cell r="G16">
            <v>7571.8</v>
          </cell>
          <cell r="H16">
            <v>-1</v>
          </cell>
          <cell r="K16">
            <v>10</v>
          </cell>
          <cell r="L16">
            <v>235</v>
          </cell>
          <cell r="M16">
            <v>9376.5</v>
          </cell>
          <cell r="N16">
            <v>85</v>
          </cell>
          <cell r="O16">
            <v>72</v>
          </cell>
          <cell r="P16">
            <v>1648.8</v>
          </cell>
          <cell r="Q16">
            <v>26</v>
          </cell>
          <cell r="R16">
            <v>30</v>
          </cell>
          <cell r="S16">
            <v>1797</v>
          </cell>
          <cell r="T16">
            <v>24</v>
          </cell>
          <cell r="U16">
            <v>9</v>
          </cell>
          <cell r="V16">
            <v>449.1</v>
          </cell>
          <cell r="W16">
            <v>9</v>
          </cell>
          <cell r="X16">
            <v>53</v>
          </cell>
          <cell r="Y16">
            <v>927.5</v>
          </cell>
          <cell r="Z16">
            <v>-6.0999999999999999E-2</v>
          </cell>
          <cell r="AA16">
            <v>19.667999999999999</v>
          </cell>
          <cell r="AB16">
            <v>4700.63</v>
          </cell>
          <cell r="AC16">
            <v>27</v>
          </cell>
          <cell r="AD16">
            <v>33</v>
          </cell>
          <cell r="AE16">
            <v>1976.7</v>
          </cell>
          <cell r="AF16">
            <v>-3</v>
          </cell>
          <cell r="AG16">
            <v>77</v>
          </cell>
          <cell r="AH16">
            <v>4997.3</v>
          </cell>
          <cell r="AI16">
            <v>1.0720000000000001</v>
          </cell>
          <cell r="AJ16">
            <v>26.655999999999999</v>
          </cell>
          <cell r="AK16">
            <v>6903.91</v>
          </cell>
          <cell r="AL16">
            <v>19.228000000000002</v>
          </cell>
          <cell r="AM16">
            <v>30.83</v>
          </cell>
        </row>
        <row r="17">
          <cell r="A17" t="str">
            <v>Магазин13/1 (с.Тарасівка,вул.Братів Чмілів,буд 3-А)</v>
          </cell>
          <cell r="B17"/>
          <cell r="C17"/>
          <cell r="F17">
            <v>0.71599999999999997</v>
          </cell>
          <cell r="G17">
            <v>171.13</v>
          </cell>
          <cell r="I17">
            <v>14</v>
          </cell>
          <cell r="J17">
            <v>1034.5999999999999</v>
          </cell>
          <cell r="L17">
            <v>141</v>
          </cell>
          <cell r="M17">
            <v>5625.9</v>
          </cell>
          <cell r="N17">
            <v>62</v>
          </cell>
          <cell r="O17">
            <v>13</v>
          </cell>
          <cell r="P17">
            <v>297.7</v>
          </cell>
          <cell r="Q17">
            <v>11</v>
          </cell>
          <cell r="R17">
            <v>7</v>
          </cell>
          <cell r="S17">
            <v>419.3</v>
          </cell>
          <cell r="W17">
            <v>-1</v>
          </cell>
          <cell r="X17">
            <v>21</v>
          </cell>
          <cell r="Y17">
            <v>367.5</v>
          </cell>
          <cell r="AC17">
            <v>38</v>
          </cell>
          <cell r="AD17">
            <v>5</v>
          </cell>
          <cell r="AE17">
            <v>299.5</v>
          </cell>
          <cell r="AF17">
            <v>21</v>
          </cell>
          <cell r="AG17">
            <v>21</v>
          </cell>
          <cell r="AH17">
            <v>1362.9</v>
          </cell>
          <cell r="AI17">
            <v>-0.01</v>
          </cell>
          <cell r="AJ17">
            <v>5.3440000000000003</v>
          </cell>
          <cell r="AK17">
            <v>1384.1</v>
          </cell>
          <cell r="AL17">
            <v>22.454000000000001</v>
          </cell>
          <cell r="AM17">
            <v>7.57</v>
          </cell>
        </row>
        <row r="18">
          <cell r="A18" t="str">
            <v>Магазин14 (вул.Світла,буд 3Д.корп.1,приміщ.2013)</v>
          </cell>
          <cell r="B18">
            <v>-0.01</v>
          </cell>
          <cell r="C18">
            <v>4.12</v>
          </cell>
          <cell r="D18">
            <v>1025.8900000000001</v>
          </cell>
          <cell r="E18">
            <v>0.78200000000000003</v>
          </cell>
          <cell r="F18">
            <v>8.52</v>
          </cell>
          <cell r="G18">
            <v>2036.28</v>
          </cell>
          <cell r="H18">
            <v>17</v>
          </cell>
          <cell r="I18">
            <v>34</v>
          </cell>
          <cell r="J18">
            <v>2512.6</v>
          </cell>
          <cell r="K18">
            <v>1</v>
          </cell>
          <cell r="L18">
            <v>107</v>
          </cell>
          <cell r="M18">
            <v>4269.3</v>
          </cell>
          <cell r="N18">
            <v>131</v>
          </cell>
          <cell r="O18">
            <v>40</v>
          </cell>
          <cell r="P18">
            <v>916</v>
          </cell>
          <cell r="Q18">
            <v>5</v>
          </cell>
          <cell r="R18">
            <v>20</v>
          </cell>
          <cell r="S18">
            <v>1198</v>
          </cell>
          <cell r="T18">
            <v>26</v>
          </cell>
          <cell r="U18">
            <v>37</v>
          </cell>
          <cell r="V18">
            <v>1846.3</v>
          </cell>
          <cell r="W18">
            <v>9</v>
          </cell>
          <cell r="X18">
            <v>53</v>
          </cell>
          <cell r="Y18">
            <v>927.5</v>
          </cell>
          <cell r="Z18">
            <v>-4.0000000000000001E-3</v>
          </cell>
          <cell r="AA18">
            <v>6.7839999999999998</v>
          </cell>
          <cell r="AB18">
            <v>1621.37</v>
          </cell>
          <cell r="AC18">
            <v>15</v>
          </cell>
          <cell r="AD18">
            <v>21</v>
          </cell>
          <cell r="AE18">
            <v>1257.9000000000001</v>
          </cell>
          <cell r="AF18">
            <v>24</v>
          </cell>
          <cell r="AG18">
            <v>16</v>
          </cell>
          <cell r="AH18">
            <v>1038.4000000000001</v>
          </cell>
          <cell r="AI18">
            <v>0.41099999999999998</v>
          </cell>
          <cell r="AJ18">
            <v>22.425999999999998</v>
          </cell>
          <cell r="AK18">
            <v>5808.34</v>
          </cell>
          <cell r="AL18">
            <v>8.7119999999999997</v>
          </cell>
          <cell r="AM18">
            <v>18.72</v>
          </cell>
        </row>
        <row r="19">
          <cell r="A19" t="str">
            <v>Магазин15 (вул.Шолом-Алейхема, буд.10А)</v>
          </cell>
          <cell r="B19">
            <v>4.0460000000000003</v>
          </cell>
          <cell r="C19">
            <v>4.3579999999999997</v>
          </cell>
          <cell r="D19">
            <v>1085.1300000000001</v>
          </cell>
          <cell r="E19">
            <v>1.2E-2</v>
          </cell>
          <cell r="F19">
            <v>3.6880000000000002</v>
          </cell>
          <cell r="G19">
            <v>881.44</v>
          </cell>
          <cell r="H19">
            <v>13</v>
          </cell>
          <cell r="I19">
            <v>38</v>
          </cell>
          <cell r="J19">
            <v>2808.2</v>
          </cell>
          <cell r="K19">
            <v>2</v>
          </cell>
          <cell r="L19">
            <v>110</v>
          </cell>
          <cell r="M19">
            <v>4389</v>
          </cell>
          <cell r="N19">
            <v>66</v>
          </cell>
          <cell r="O19">
            <v>22</v>
          </cell>
          <cell r="P19">
            <v>503.8</v>
          </cell>
          <cell r="Q19">
            <v>11</v>
          </cell>
          <cell r="R19">
            <v>22</v>
          </cell>
          <cell r="S19">
            <v>1317.8</v>
          </cell>
          <cell r="T19">
            <v>16</v>
          </cell>
          <cell r="U19">
            <v>48</v>
          </cell>
          <cell r="V19">
            <v>2395.1999999999998</v>
          </cell>
          <cell r="W19">
            <v>3</v>
          </cell>
          <cell r="X19">
            <v>46</v>
          </cell>
          <cell r="Y19">
            <v>805</v>
          </cell>
          <cell r="Z19">
            <v>0.77200000000000002</v>
          </cell>
          <cell r="AA19">
            <v>1.6160000000000001</v>
          </cell>
          <cell r="AB19">
            <v>386.23</v>
          </cell>
          <cell r="AC19">
            <v>22</v>
          </cell>
          <cell r="AD19">
            <v>15</v>
          </cell>
          <cell r="AE19">
            <v>898.5</v>
          </cell>
          <cell r="AF19">
            <v>11</v>
          </cell>
          <cell r="AG19">
            <v>58</v>
          </cell>
          <cell r="AH19">
            <v>3764.2</v>
          </cell>
          <cell r="AI19">
            <v>4.7460000000000004</v>
          </cell>
          <cell r="AJ19">
            <v>10.746</v>
          </cell>
          <cell r="AK19">
            <v>2783.21</v>
          </cell>
          <cell r="AL19">
            <v>16.521999999999998</v>
          </cell>
          <cell r="AM19">
            <v>2.0960000000000001</v>
          </cell>
        </row>
        <row r="20">
          <cell r="A20" t="str">
            <v>Магазин16 (пр.Романа Шухевича, буд 11-А)</v>
          </cell>
          <cell r="B20"/>
          <cell r="C20">
            <v>1.792</v>
          </cell>
          <cell r="D20">
            <v>446.21</v>
          </cell>
          <cell r="F20">
            <v>1.46</v>
          </cell>
          <cell r="G20">
            <v>313.67</v>
          </cell>
          <cell r="H20">
            <v>42</v>
          </cell>
          <cell r="I20">
            <v>26</v>
          </cell>
          <cell r="J20">
            <v>1921.4</v>
          </cell>
          <cell r="K20">
            <v>6</v>
          </cell>
          <cell r="L20">
            <v>31</v>
          </cell>
          <cell r="M20">
            <v>1236.9000000000001</v>
          </cell>
          <cell r="N20">
            <v>37</v>
          </cell>
          <cell r="O20">
            <v>8</v>
          </cell>
          <cell r="P20">
            <v>183.2</v>
          </cell>
          <cell r="Q20">
            <v>9</v>
          </cell>
          <cell r="R20">
            <v>15</v>
          </cell>
          <cell r="S20">
            <v>898.5</v>
          </cell>
          <cell r="T20">
            <v>31</v>
          </cell>
          <cell r="U20">
            <v>15</v>
          </cell>
          <cell r="V20">
            <v>748.5</v>
          </cell>
          <cell r="X20">
            <v>15</v>
          </cell>
          <cell r="Y20">
            <v>262.5</v>
          </cell>
          <cell r="Z20">
            <v>1.1559999999999999</v>
          </cell>
          <cell r="AA20">
            <v>1.206</v>
          </cell>
          <cell r="AB20">
            <v>288.23</v>
          </cell>
          <cell r="AC20">
            <v>10</v>
          </cell>
          <cell r="AD20">
            <v>16</v>
          </cell>
          <cell r="AE20">
            <v>958.4</v>
          </cell>
          <cell r="AF20">
            <v>3</v>
          </cell>
          <cell r="AG20">
            <v>20</v>
          </cell>
          <cell r="AH20">
            <v>1298</v>
          </cell>
          <cell r="AJ20">
            <v>2.6339999999999999</v>
          </cell>
          <cell r="AK20">
            <v>682.21</v>
          </cell>
          <cell r="AL20">
            <v>10.667999999999999</v>
          </cell>
          <cell r="AM20">
            <v>4.0380000000000003</v>
          </cell>
        </row>
        <row r="21">
          <cell r="A21" t="str">
            <v>Магазин17/1 (м.Бориспіль, вул.Головатого, буд 64)</v>
          </cell>
          <cell r="B21">
            <v>3.5939999999999999</v>
          </cell>
          <cell r="C21"/>
          <cell r="F21">
            <v>1.4079999999999999</v>
          </cell>
          <cell r="G21">
            <v>319.77999999999997</v>
          </cell>
          <cell r="H21">
            <v>13</v>
          </cell>
          <cell r="I21">
            <v>22</v>
          </cell>
          <cell r="J21">
            <v>1625.8</v>
          </cell>
          <cell r="K21">
            <v>1</v>
          </cell>
          <cell r="L21">
            <v>59</v>
          </cell>
          <cell r="M21">
            <v>2354.1</v>
          </cell>
          <cell r="N21">
            <v>38</v>
          </cell>
          <cell r="O21">
            <v>11</v>
          </cell>
          <cell r="P21">
            <v>251.9</v>
          </cell>
          <cell r="Q21">
            <v>6</v>
          </cell>
          <cell r="R21">
            <v>23</v>
          </cell>
          <cell r="S21">
            <v>1377.7</v>
          </cell>
          <cell r="T21">
            <v>30</v>
          </cell>
          <cell r="U21">
            <v>9</v>
          </cell>
          <cell r="V21">
            <v>449.1</v>
          </cell>
          <cell r="X21">
            <v>18</v>
          </cell>
          <cell r="Y21">
            <v>315</v>
          </cell>
          <cell r="Z21">
            <v>0.36799999999999999</v>
          </cell>
          <cell r="AA21">
            <v>3.1480000000000001</v>
          </cell>
          <cell r="AB21">
            <v>752.38</v>
          </cell>
          <cell r="AC21">
            <v>6</v>
          </cell>
          <cell r="AD21">
            <v>17</v>
          </cell>
          <cell r="AE21">
            <v>1018.3</v>
          </cell>
          <cell r="AF21">
            <v>10</v>
          </cell>
          <cell r="AG21">
            <v>10</v>
          </cell>
          <cell r="AH21">
            <v>649</v>
          </cell>
          <cell r="AI21">
            <v>8.0000000000000002E-3</v>
          </cell>
          <cell r="AJ21">
            <v>9.2460000000000004</v>
          </cell>
          <cell r="AK21">
            <v>2394.6999999999998</v>
          </cell>
          <cell r="AL21">
            <v>6.4619999999999997</v>
          </cell>
          <cell r="AM21">
            <v>11.538</v>
          </cell>
        </row>
        <row r="22">
          <cell r="A22" t="str">
            <v>Магазин20 (вул.Бориспільська буд 32-А)</v>
          </cell>
          <cell r="B22">
            <v>4.968</v>
          </cell>
          <cell r="C22">
            <v>4.7619999999999996</v>
          </cell>
          <cell r="D22">
            <v>1185.73</v>
          </cell>
          <cell r="E22">
            <v>6.0000000000000001E-3</v>
          </cell>
          <cell r="F22">
            <v>3.5859999999999999</v>
          </cell>
          <cell r="G22">
            <v>840.23</v>
          </cell>
          <cell r="H22">
            <v>2</v>
          </cell>
          <cell r="I22">
            <v>26</v>
          </cell>
          <cell r="J22">
            <v>1921.4</v>
          </cell>
          <cell r="L22">
            <v>88</v>
          </cell>
          <cell r="M22">
            <v>3511.2</v>
          </cell>
          <cell r="N22">
            <v>93</v>
          </cell>
          <cell r="O22">
            <v>4</v>
          </cell>
          <cell r="P22">
            <v>91.6</v>
          </cell>
          <cell r="Q22">
            <v>12</v>
          </cell>
          <cell r="R22">
            <v>14</v>
          </cell>
          <cell r="S22">
            <v>838.6</v>
          </cell>
          <cell r="T22">
            <v>36</v>
          </cell>
          <cell r="U22">
            <v>25</v>
          </cell>
          <cell r="V22">
            <v>1247.5</v>
          </cell>
          <cell r="W22">
            <v>25</v>
          </cell>
          <cell r="X22">
            <v>64</v>
          </cell>
          <cell r="Y22">
            <v>1120</v>
          </cell>
          <cell r="Z22">
            <v>-3.95</v>
          </cell>
          <cell r="AA22">
            <v>8.9879999999999995</v>
          </cell>
          <cell r="AB22">
            <v>2148.12</v>
          </cell>
          <cell r="AC22">
            <v>16</v>
          </cell>
          <cell r="AD22">
            <v>17</v>
          </cell>
          <cell r="AE22">
            <v>1018.3</v>
          </cell>
          <cell r="AF22">
            <v>-12</v>
          </cell>
          <cell r="AG22">
            <v>16</v>
          </cell>
          <cell r="AH22">
            <v>1038.4000000000001</v>
          </cell>
          <cell r="AI22">
            <v>2E-3</v>
          </cell>
          <cell r="AJ22">
            <v>19.352</v>
          </cell>
          <cell r="AK22">
            <v>5012.17</v>
          </cell>
          <cell r="AL22">
            <v>18.806000000000001</v>
          </cell>
          <cell r="AM22">
            <v>10.278</v>
          </cell>
        </row>
        <row r="23">
          <cell r="A23" t="str">
            <v>Магазин21 (м.Ірпінь, вул Матвія Донцова,буд 50б)</v>
          </cell>
          <cell r="B23">
            <v>1.1839999999999999</v>
          </cell>
          <cell r="C23">
            <v>1.9359999999999999</v>
          </cell>
          <cell r="D23">
            <v>482.07</v>
          </cell>
          <cell r="E23">
            <v>-4.0000000000000001E-3</v>
          </cell>
          <cell r="F23">
            <v>1.8280000000000001</v>
          </cell>
          <cell r="G23">
            <v>436.89</v>
          </cell>
          <cell r="I23">
            <v>10</v>
          </cell>
          <cell r="J23">
            <v>739</v>
          </cell>
          <cell r="L23">
            <v>80</v>
          </cell>
          <cell r="M23">
            <v>3192</v>
          </cell>
          <cell r="N23">
            <v>83</v>
          </cell>
          <cell r="O23">
            <v>21</v>
          </cell>
          <cell r="P23">
            <v>480.9</v>
          </cell>
          <cell r="Q23">
            <v>13</v>
          </cell>
          <cell r="R23">
            <v>30</v>
          </cell>
          <cell r="S23">
            <v>1797</v>
          </cell>
          <cell r="T23">
            <v>7</v>
          </cell>
          <cell r="U23">
            <v>16</v>
          </cell>
          <cell r="V23">
            <v>798.4</v>
          </cell>
          <cell r="X23">
            <v>32</v>
          </cell>
          <cell r="Y23">
            <v>560</v>
          </cell>
          <cell r="Z23">
            <v>0.43</v>
          </cell>
          <cell r="AA23">
            <v>2.0099999999999998</v>
          </cell>
          <cell r="AB23">
            <v>480.39</v>
          </cell>
          <cell r="AC23">
            <v>19</v>
          </cell>
          <cell r="AD23">
            <v>32</v>
          </cell>
          <cell r="AE23">
            <v>1916.8</v>
          </cell>
          <cell r="AF23">
            <v>19</v>
          </cell>
          <cell r="AG23">
            <v>21</v>
          </cell>
          <cell r="AH23">
            <v>1362.9</v>
          </cell>
          <cell r="AI23">
            <v>6.0000000000000001E-3</v>
          </cell>
          <cell r="AJ23">
            <v>5.6360000000000001</v>
          </cell>
          <cell r="AK23">
            <v>1459.76</v>
          </cell>
          <cell r="AL23">
            <v>13.532</v>
          </cell>
          <cell r="AM23">
            <v>12.494</v>
          </cell>
        </row>
        <row r="24">
          <cell r="A24" t="str">
            <v>Магазин22 (вул.Вітряні гори, буд.21/7(літера А)</v>
          </cell>
          <cell r="B24">
            <v>1.3180000000000001</v>
          </cell>
          <cell r="C24">
            <v>3.07</v>
          </cell>
          <cell r="D24">
            <v>764.42</v>
          </cell>
          <cell r="F24">
            <v>6.8819999999999997</v>
          </cell>
          <cell r="G24">
            <v>1644.78</v>
          </cell>
          <cell r="H24">
            <v>48</v>
          </cell>
          <cell r="I24">
            <v>31</v>
          </cell>
          <cell r="J24">
            <v>2290.9</v>
          </cell>
          <cell r="K24">
            <v>18</v>
          </cell>
          <cell r="L24">
            <v>108</v>
          </cell>
          <cell r="M24">
            <v>4309.2</v>
          </cell>
          <cell r="N24">
            <v>60</v>
          </cell>
          <cell r="O24">
            <v>15</v>
          </cell>
          <cell r="P24">
            <v>343.5</v>
          </cell>
          <cell r="Q24">
            <v>10</v>
          </cell>
          <cell r="R24">
            <v>21</v>
          </cell>
          <cell r="S24">
            <v>1257.9000000000001</v>
          </cell>
          <cell r="T24">
            <v>2</v>
          </cell>
          <cell r="U24">
            <v>10</v>
          </cell>
          <cell r="V24">
            <v>499</v>
          </cell>
          <cell r="W24">
            <v>13</v>
          </cell>
          <cell r="X24">
            <v>73</v>
          </cell>
          <cell r="Y24">
            <v>1277.5</v>
          </cell>
          <cell r="Z24">
            <v>7.1999999999999995E-2</v>
          </cell>
          <cell r="AA24">
            <v>6.6920000000000002</v>
          </cell>
          <cell r="AB24">
            <v>1599.39</v>
          </cell>
          <cell r="AC24">
            <v>11</v>
          </cell>
          <cell r="AD24">
            <v>23</v>
          </cell>
          <cell r="AE24">
            <v>1377.7</v>
          </cell>
          <cell r="AF24">
            <v>8</v>
          </cell>
          <cell r="AG24">
            <v>40</v>
          </cell>
          <cell r="AH24">
            <v>2596</v>
          </cell>
          <cell r="AI24">
            <v>1.514</v>
          </cell>
          <cell r="AJ24">
            <v>9.8680000000000003</v>
          </cell>
          <cell r="AK24">
            <v>2555.8200000000002</v>
          </cell>
          <cell r="AL24">
            <v>13.608000000000001</v>
          </cell>
          <cell r="AM24">
            <v>0.56999999999999995</v>
          </cell>
        </row>
        <row r="25">
          <cell r="A25" t="str">
            <v>Магазин23 (бул.В.Гавела 18)</v>
          </cell>
          <cell r="B25">
            <v>-4.8780000000000001</v>
          </cell>
          <cell r="C25">
            <v>33.954000000000001</v>
          </cell>
          <cell r="D25">
            <v>8454.51</v>
          </cell>
          <cell r="E25">
            <v>2.972</v>
          </cell>
          <cell r="F25">
            <v>4.4420000000000002</v>
          </cell>
          <cell r="G25">
            <v>1008.85</v>
          </cell>
          <cell r="I25">
            <v>7</v>
          </cell>
          <cell r="J25">
            <v>517.29999999999995</v>
          </cell>
          <cell r="K25">
            <v>-10</v>
          </cell>
          <cell r="L25">
            <v>457</v>
          </cell>
          <cell r="M25">
            <v>18234.3</v>
          </cell>
          <cell r="N25">
            <v>1753</v>
          </cell>
          <cell r="O25">
            <v>61</v>
          </cell>
          <cell r="P25">
            <v>1396.9</v>
          </cell>
          <cell r="Q25">
            <v>15</v>
          </cell>
          <cell r="R25">
            <v>40</v>
          </cell>
          <cell r="S25">
            <v>2396</v>
          </cell>
          <cell r="T25">
            <v>18</v>
          </cell>
          <cell r="U25">
            <v>126</v>
          </cell>
          <cell r="V25">
            <v>6287.4</v>
          </cell>
          <cell r="W25">
            <v>-294</v>
          </cell>
          <cell r="X25">
            <v>348</v>
          </cell>
          <cell r="Y25">
            <v>6090</v>
          </cell>
          <cell r="Z25">
            <v>-3.766</v>
          </cell>
          <cell r="AA25">
            <v>28.082000000000001</v>
          </cell>
          <cell r="AB25">
            <v>6711.55</v>
          </cell>
          <cell r="AC25">
            <v>26</v>
          </cell>
          <cell r="AD25">
            <v>65</v>
          </cell>
          <cell r="AE25">
            <v>3893.5</v>
          </cell>
          <cell r="AG25">
            <v>54</v>
          </cell>
          <cell r="AH25">
            <v>3504.6</v>
          </cell>
          <cell r="AI25">
            <v>-26.568000000000001</v>
          </cell>
          <cell r="AJ25">
            <v>70.27</v>
          </cell>
          <cell r="AK25">
            <v>18199.96</v>
          </cell>
          <cell r="AL25">
            <v>31.821999999999999</v>
          </cell>
          <cell r="AM25">
            <v>73.415999999999997</v>
          </cell>
        </row>
        <row r="26">
          <cell r="A26" t="str">
            <v>Магазин24/1 (смт.Глеваха, вул.Ботанічна, буд.34)</v>
          </cell>
          <cell r="B26">
            <v>0.216</v>
          </cell>
          <cell r="C26">
            <v>1.028</v>
          </cell>
          <cell r="D26">
            <v>255.98</v>
          </cell>
          <cell r="H26">
            <v>40</v>
          </cell>
          <cell r="I26">
            <v>28</v>
          </cell>
          <cell r="J26">
            <v>2069.1999999999998</v>
          </cell>
          <cell r="L26">
            <v>230</v>
          </cell>
          <cell r="M26">
            <v>9177</v>
          </cell>
          <cell r="N26">
            <v>92</v>
          </cell>
          <cell r="O26">
            <v>28</v>
          </cell>
          <cell r="P26">
            <v>641.20000000000005</v>
          </cell>
          <cell r="Q26">
            <v>28</v>
          </cell>
          <cell r="R26">
            <v>4</v>
          </cell>
          <cell r="S26">
            <v>239.6</v>
          </cell>
          <cell r="U26">
            <v>39</v>
          </cell>
          <cell r="V26">
            <v>1946.1</v>
          </cell>
          <cell r="X26">
            <v>31</v>
          </cell>
          <cell r="Y26">
            <v>542.5</v>
          </cell>
          <cell r="Z26">
            <v>-0.01</v>
          </cell>
          <cell r="AA26">
            <v>1.984</v>
          </cell>
          <cell r="AB26">
            <v>474.18</v>
          </cell>
          <cell r="AC26">
            <v>24</v>
          </cell>
          <cell r="AD26">
            <v>19</v>
          </cell>
          <cell r="AE26">
            <v>1138.0999999999999</v>
          </cell>
          <cell r="AF26">
            <v>29</v>
          </cell>
          <cell r="AG26">
            <v>26</v>
          </cell>
          <cell r="AH26">
            <v>1687.4</v>
          </cell>
          <cell r="AI26">
            <v>0.108</v>
          </cell>
          <cell r="AJ26">
            <v>6.4779999999999998</v>
          </cell>
          <cell r="AK26">
            <v>1677.8</v>
          </cell>
          <cell r="AL26">
            <v>9.4250000000000007</v>
          </cell>
          <cell r="AM26">
            <v>21.48</v>
          </cell>
        </row>
        <row r="27">
          <cell r="A27" t="str">
            <v>Магазин25 (с.Софіївська Борщагівка,вул.Чубинського, 8-В)</v>
          </cell>
          <cell r="B27">
            <v>4.1399999999999997</v>
          </cell>
          <cell r="C27">
            <v>1.204</v>
          </cell>
          <cell r="D27">
            <v>299.79000000000002</v>
          </cell>
          <cell r="F27">
            <v>1.792</v>
          </cell>
          <cell r="G27">
            <v>377.62</v>
          </cell>
          <cell r="I27">
            <v>10</v>
          </cell>
          <cell r="J27">
            <v>739</v>
          </cell>
          <cell r="L27">
            <v>236</v>
          </cell>
          <cell r="M27">
            <v>9416.4</v>
          </cell>
          <cell r="N27">
            <v>63</v>
          </cell>
          <cell r="O27">
            <v>32</v>
          </cell>
          <cell r="P27">
            <v>732.8</v>
          </cell>
          <cell r="Q27">
            <v>12</v>
          </cell>
          <cell r="R27">
            <v>30</v>
          </cell>
          <cell r="S27">
            <v>1797</v>
          </cell>
          <cell r="T27">
            <v>24</v>
          </cell>
          <cell r="U27">
            <v>16</v>
          </cell>
          <cell r="V27">
            <v>798.4</v>
          </cell>
          <cell r="W27">
            <v>4</v>
          </cell>
          <cell r="X27">
            <v>20</v>
          </cell>
          <cell r="Y27">
            <v>350</v>
          </cell>
          <cell r="AA27">
            <v>1.998</v>
          </cell>
          <cell r="AB27">
            <v>477.53</v>
          </cell>
          <cell r="AC27">
            <v>6</v>
          </cell>
          <cell r="AD27">
            <v>29</v>
          </cell>
          <cell r="AE27">
            <v>1737.1</v>
          </cell>
          <cell r="AF27">
            <v>9</v>
          </cell>
          <cell r="AG27">
            <v>34</v>
          </cell>
          <cell r="AH27">
            <v>2206.6</v>
          </cell>
          <cell r="AI27">
            <v>-9.1999999999999998E-2</v>
          </cell>
          <cell r="AJ27">
            <v>10.555999999999999</v>
          </cell>
          <cell r="AK27">
            <v>2733.99</v>
          </cell>
          <cell r="AL27">
            <v>24.672000000000001</v>
          </cell>
          <cell r="AM27">
            <v>13.314</v>
          </cell>
        </row>
        <row r="28">
          <cell r="A28" t="str">
            <v>Магазин26 (вул.Данченка Сергія,буд.30.прим.279)</v>
          </cell>
          <cell r="B28">
            <v>0.64600000000000002</v>
          </cell>
          <cell r="C28">
            <v>1.248</v>
          </cell>
          <cell r="D28">
            <v>310.75</v>
          </cell>
          <cell r="H28">
            <v>6</v>
          </cell>
          <cell r="I28">
            <v>14</v>
          </cell>
          <cell r="J28">
            <v>1034.5999999999999</v>
          </cell>
          <cell r="K28">
            <v>19</v>
          </cell>
          <cell r="L28">
            <v>90</v>
          </cell>
          <cell r="M28">
            <v>3591</v>
          </cell>
          <cell r="N28">
            <v>52</v>
          </cell>
          <cell r="O28">
            <v>10</v>
          </cell>
          <cell r="P28">
            <v>229</v>
          </cell>
          <cell r="Q28">
            <v>10</v>
          </cell>
          <cell r="R28">
            <v>10</v>
          </cell>
          <cell r="S28">
            <v>599</v>
          </cell>
          <cell r="T28">
            <v>9</v>
          </cell>
          <cell r="U28">
            <v>11</v>
          </cell>
          <cell r="V28">
            <v>548.9</v>
          </cell>
          <cell r="W28">
            <v>9</v>
          </cell>
          <cell r="X28">
            <v>19</v>
          </cell>
          <cell r="Y28">
            <v>332.5</v>
          </cell>
          <cell r="Z28">
            <v>0.39200000000000002</v>
          </cell>
          <cell r="AC28">
            <v>30</v>
          </cell>
          <cell r="AD28">
            <v>6</v>
          </cell>
          <cell r="AE28">
            <v>359.4</v>
          </cell>
          <cell r="AI28">
            <v>4.0000000000000001E-3</v>
          </cell>
          <cell r="AJ28">
            <v>5.0839999999999996</v>
          </cell>
          <cell r="AK28">
            <v>1316.77</v>
          </cell>
          <cell r="AL28">
            <v>15.151</v>
          </cell>
          <cell r="AM28">
            <v>1.27</v>
          </cell>
        </row>
        <row r="29">
          <cell r="A29" t="str">
            <v>Магазин27 (вул.Радистів буд.14)</v>
          </cell>
          <cell r="B29">
            <v>-4.0000000000000001E-3</v>
          </cell>
          <cell r="C29">
            <v>3.3559999999999999</v>
          </cell>
          <cell r="D29">
            <v>835.63</v>
          </cell>
          <cell r="F29">
            <v>2.4860000000000002</v>
          </cell>
          <cell r="G29">
            <v>560.13</v>
          </cell>
          <cell r="H29">
            <v>56</v>
          </cell>
          <cell r="I29">
            <v>31</v>
          </cell>
          <cell r="J29">
            <v>2290.9</v>
          </cell>
          <cell r="L29">
            <v>97</v>
          </cell>
          <cell r="M29">
            <v>3870.3</v>
          </cell>
          <cell r="N29">
            <v>61</v>
          </cell>
          <cell r="O29">
            <v>28</v>
          </cell>
          <cell r="P29">
            <v>641.20000000000005</v>
          </cell>
          <cell r="Q29">
            <v>15</v>
          </cell>
          <cell r="R29">
            <v>17</v>
          </cell>
          <cell r="S29">
            <v>1018.3</v>
          </cell>
          <cell r="T29">
            <v>13</v>
          </cell>
          <cell r="U29">
            <v>14</v>
          </cell>
          <cell r="V29">
            <v>698.6</v>
          </cell>
          <cell r="X29">
            <v>58</v>
          </cell>
          <cell r="Y29">
            <v>1015</v>
          </cell>
          <cell r="AA29">
            <v>2.032</v>
          </cell>
          <cell r="AB29">
            <v>485.65</v>
          </cell>
          <cell r="AC29">
            <v>20</v>
          </cell>
          <cell r="AD29">
            <v>15</v>
          </cell>
          <cell r="AE29">
            <v>898.5</v>
          </cell>
          <cell r="AF29">
            <v>12</v>
          </cell>
          <cell r="AG29">
            <v>27</v>
          </cell>
          <cell r="AH29">
            <v>1752.3</v>
          </cell>
          <cell r="AI29">
            <v>2E-3</v>
          </cell>
          <cell r="AJ29">
            <v>10.85</v>
          </cell>
          <cell r="AK29">
            <v>2810.15</v>
          </cell>
          <cell r="AL29">
            <v>7.6340000000000003</v>
          </cell>
          <cell r="AM29">
            <v>13.608000000000001</v>
          </cell>
        </row>
        <row r="30">
          <cell r="A30" t="str">
            <v>Магазин31 (м.Житомир, вул.Вітрука, буд.19)</v>
          </cell>
          <cell r="B30"/>
          <cell r="C30">
            <v>1.6839999999999999</v>
          </cell>
          <cell r="D30">
            <v>419.31</v>
          </cell>
          <cell r="E30">
            <v>0.372</v>
          </cell>
          <cell r="F30">
            <v>0.36799999999999999</v>
          </cell>
          <cell r="G30">
            <v>87.95</v>
          </cell>
          <cell r="H30">
            <v>3</v>
          </cell>
          <cell r="I30">
            <v>11</v>
          </cell>
          <cell r="J30">
            <v>812.9</v>
          </cell>
          <cell r="K30">
            <v>24</v>
          </cell>
          <cell r="L30">
            <v>19</v>
          </cell>
          <cell r="M30">
            <v>758.1</v>
          </cell>
          <cell r="N30">
            <v>62</v>
          </cell>
          <cell r="O30">
            <v>5</v>
          </cell>
          <cell r="P30">
            <v>114.5</v>
          </cell>
          <cell r="Q30">
            <v>15</v>
          </cell>
          <cell r="R30">
            <v>6</v>
          </cell>
          <cell r="S30">
            <v>359.4</v>
          </cell>
          <cell r="T30">
            <v>21</v>
          </cell>
          <cell r="W30">
            <v>5</v>
          </cell>
          <cell r="X30">
            <v>5</v>
          </cell>
          <cell r="Y30">
            <v>87.5</v>
          </cell>
          <cell r="Z30">
            <v>1.6080000000000001</v>
          </cell>
          <cell r="AC30">
            <v>11</v>
          </cell>
          <cell r="AF30">
            <v>12</v>
          </cell>
          <cell r="AG30">
            <v>3</v>
          </cell>
          <cell r="AH30">
            <v>194.7</v>
          </cell>
          <cell r="AI30">
            <v>1.3759999999999999</v>
          </cell>
          <cell r="AJ30">
            <v>1.004</v>
          </cell>
          <cell r="AK30">
            <v>260.02999999999997</v>
          </cell>
          <cell r="AL30">
            <v>13.36</v>
          </cell>
          <cell r="AM30">
            <v>0.81</v>
          </cell>
        </row>
        <row r="31">
          <cell r="A31" t="str">
            <v>Магазин32 (вул.Закревського Миколи 47А)</v>
          </cell>
          <cell r="B31">
            <v>0.23799999999999999</v>
          </cell>
          <cell r="C31">
            <v>5.3959999999999999</v>
          </cell>
          <cell r="D31">
            <v>1343.62</v>
          </cell>
          <cell r="F31">
            <v>2.1880000000000002</v>
          </cell>
          <cell r="G31">
            <v>505.06</v>
          </cell>
          <cell r="H31">
            <v>22</v>
          </cell>
          <cell r="I31">
            <v>12</v>
          </cell>
          <cell r="J31">
            <v>886.8</v>
          </cell>
          <cell r="K31">
            <v>3</v>
          </cell>
          <cell r="L31">
            <v>61</v>
          </cell>
          <cell r="M31">
            <v>2433.9</v>
          </cell>
          <cell r="N31">
            <v>60</v>
          </cell>
          <cell r="O31">
            <v>2</v>
          </cell>
          <cell r="P31">
            <v>45.8</v>
          </cell>
          <cell r="Q31">
            <v>13</v>
          </cell>
          <cell r="R31">
            <v>4</v>
          </cell>
          <cell r="S31">
            <v>239.6</v>
          </cell>
          <cell r="T31">
            <v>60</v>
          </cell>
          <cell r="U31">
            <v>29</v>
          </cell>
          <cell r="V31">
            <v>1447.1</v>
          </cell>
          <cell r="W31">
            <v>14</v>
          </cell>
          <cell r="X31">
            <v>117</v>
          </cell>
          <cell r="Y31">
            <v>2047.5</v>
          </cell>
          <cell r="Z31">
            <v>0.76</v>
          </cell>
          <cell r="AA31">
            <v>2.8279999999999998</v>
          </cell>
          <cell r="AB31">
            <v>675.89</v>
          </cell>
          <cell r="AC31">
            <v>29</v>
          </cell>
          <cell r="AD31">
            <v>4</v>
          </cell>
          <cell r="AE31">
            <v>239.6</v>
          </cell>
          <cell r="AF31">
            <v>2</v>
          </cell>
          <cell r="AG31">
            <v>36</v>
          </cell>
          <cell r="AH31">
            <v>2336.4</v>
          </cell>
          <cell r="AI31">
            <v>0.38200000000000001</v>
          </cell>
          <cell r="AJ31">
            <v>14.513999999999999</v>
          </cell>
          <cell r="AK31">
            <v>3759.13</v>
          </cell>
          <cell r="AL31">
            <v>1.024</v>
          </cell>
          <cell r="AM31">
            <v>12.154</v>
          </cell>
        </row>
        <row r="32">
          <cell r="A32" t="str">
            <v>Магазин33 (м.Бровари, вул. Київська,буд.95)</v>
          </cell>
          <cell r="B32">
            <v>0.66600000000000004</v>
          </cell>
          <cell r="C32">
            <v>1.538</v>
          </cell>
          <cell r="D32">
            <v>382.97</v>
          </cell>
          <cell r="F32">
            <v>1.0640000000000001</v>
          </cell>
          <cell r="G32">
            <v>254.3</v>
          </cell>
          <cell r="H32">
            <v>5</v>
          </cell>
          <cell r="I32">
            <v>10</v>
          </cell>
          <cell r="J32">
            <v>739</v>
          </cell>
          <cell r="K32">
            <v>12</v>
          </cell>
          <cell r="L32">
            <v>63</v>
          </cell>
          <cell r="M32">
            <v>2513.6999999999998</v>
          </cell>
          <cell r="N32">
            <v>75</v>
          </cell>
          <cell r="O32">
            <v>13</v>
          </cell>
          <cell r="P32">
            <v>297.7</v>
          </cell>
          <cell r="Q32">
            <v>29</v>
          </cell>
          <cell r="R32">
            <v>8</v>
          </cell>
          <cell r="S32">
            <v>479.2</v>
          </cell>
          <cell r="T32">
            <v>17</v>
          </cell>
          <cell r="U32">
            <v>6</v>
          </cell>
          <cell r="V32">
            <v>299.39999999999998</v>
          </cell>
          <cell r="W32">
            <v>10</v>
          </cell>
          <cell r="X32">
            <v>22</v>
          </cell>
          <cell r="Y32">
            <v>385</v>
          </cell>
          <cell r="Z32">
            <v>3.18</v>
          </cell>
          <cell r="AA32">
            <v>1.244</v>
          </cell>
          <cell r="AB32">
            <v>297.32</v>
          </cell>
          <cell r="AC32">
            <v>10</v>
          </cell>
          <cell r="AD32">
            <v>14</v>
          </cell>
          <cell r="AE32">
            <v>838.6</v>
          </cell>
          <cell r="AF32">
            <v>6</v>
          </cell>
          <cell r="AG32">
            <v>24</v>
          </cell>
          <cell r="AH32">
            <v>1557.6</v>
          </cell>
          <cell r="AI32">
            <v>0.45400000000000001</v>
          </cell>
          <cell r="AJ32">
            <v>5.9139999999999997</v>
          </cell>
          <cell r="AK32">
            <v>1531.74</v>
          </cell>
          <cell r="AL32">
            <v>6.1040000000000001</v>
          </cell>
          <cell r="AM32">
            <v>11.183999999999999</v>
          </cell>
        </row>
        <row r="33">
          <cell r="A33" t="str">
            <v>Магазин35 (вул.О.Пчілки, буд,7-Б)</v>
          </cell>
          <cell r="B33">
            <v>4.2000000000000003E-2</v>
          </cell>
          <cell r="C33">
            <v>3.17</v>
          </cell>
          <cell r="D33">
            <v>789.33</v>
          </cell>
          <cell r="E33">
            <v>-0.84399999999999997</v>
          </cell>
          <cell r="F33">
            <v>10.683999999999999</v>
          </cell>
          <cell r="G33">
            <v>2509.21</v>
          </cell>
          <cell r="I33">
            <v>51</v>
          </cell>
          <cell r="J33">
            <v>3768.9</v>
          </cell>
          <cell r="L33">
            <v>92</v>
          </cell>
          <cell r="M33">
            <v>3670.8</v>
          </cell>
          <cell r="N33">
            <v>99</v>
          </cell>
          <cell r="O33">
            <v>83</v>
          </cell>
          <cell r="P33">
            <v>1900.7</v>
          </cell>
          <cell r="Q33">
            <v>11</v>
          </cell>
          <cell r="R33">
            <v>23</v>
          </cell>
          <cell r="S33">
            <v>1377.7</v>
          </cell>
          <cell r="T33">
            <v>43</v>
          </cell>
          <cell r="U33">
            <v>42</v>
          </cell>
          <cell r="V33">
            <v>2095.8000000000002</v>
          </cell>
          <cell r="W33">
            <v>32</v>
          </cell>
          <cell r="X33">
            <v>45</v>
          </cell>
          <cell r="Y33">
            <v>787.5</v>
          </cell>
          <cell r="Z33">
            <v>0.39800000000000002</v>
          </cell>
          <cell r="AA33">
            <v>1.1599999999999999</v>
          </cell>
          <cell r="AB33">
            <v>277.24</v>
          </cell>
          <cell r="AC33">
            <v>2</v>
          </cell>
          <cell r="AD33">
            <v>23</v>
          </cell>
          <cell r="AE33">
            <v>1377.7</v>
          </cell>
          <cell r="AF33">
            <v>12</v>
          </cell>
          <cell r="AG33">
            <v>29</v>
          </cell>
          <cell r="AH33">
            <v>1882.1</v>
          </cell>
          <cell r="AI33">
            <v>0.28199999999999997</v>
          </cell>
          <cell r="AJ33">
            <v>13.086</v>
          </cell>
          <cell r="AK33">
            <v>3389.25</v>
          </cell>
          <cell r="AL33">
            <v>15.146000000000001</v>
          </cell>
          <cell r="AM33">
            <v>23.108000000000001</v>
          </cell>
        </row>
        <row r="34">
          <cell r="A34" t="str">
            <v>Магазин36 (м.Буча, пров.Тихого, буд.4, секц.2, приміщ.236)</v>
          </cell>
          <cell r="B34">
            <v>1.758</v>
          </cell>
          <cell r="C34">
            <v>2.6520000000000001</v>
          </cell>
          <cell r="D34">
            <v>660.34</v>
          </cell>
          <cell r="E34">
            <v>0.34799999999999998</v>
          </cell>
          <cell r="F34">
            <v>1.8260000000000001</v>
          </cell>
          <cell r="G34">
            <v>436.42</v>
          </cell>
          <cell r="I34">
            <v>14</v>
          </cell>
          <cell r="J34">
            <v>1034.5999999999999</v>
          </cell>
          <cell r="L34">
            <v>95</v>
          </cell>
          <cell r="M34">
            <v>3790.5</v>
          </cell>
          <cell r="N34">
            <v>54</v>
          </cell>
          <cell r="O34">
            <v>24</v>
          </cell>
          <cell r="P34">
            <v>549.6</v>
          </cell>
          <cell r="Q34">
            <v>8</v>
          </cell>
          <cell r="R34">
            <v>15</v>
          </cell>
          <cell r="S34">
            <v>898.5</v>
          </cell>
          <cell r="T34">
            <v>27</v>
          </cell>
          <cell r="U34">
            <v>10</v>
          </cell>
          <cell r="V34">
            <v>499</v>
          </cell>
          <cell r="W34">
            <v>2</v>
          </cell>
          <cell r="X34">
            <v>24</v>
          </cell>
          <cell r="Y34">
            <v>420</v>
          </cell>
          <cell r="Z34">
            <v>1.18</v>
          </cell>
          <cell r="AA34">
            <v>1.6140000000000001</v>
          </cell>
          <cell r="AB34">
            <v>385.75</v>
          </cell>
          <cell r="AC34">
            <v>8</v>
          </cell>
          <cell r="AD34">
            <v>19</v>
          </cell>
          <cell r="AE34">
            <v>1138.0999999999999</v>
          </cell>
          <cell r="AF34">
            <v>15</v>
          </cell>
          <cell r="AG34">
            <v>36</v>
          </cell>
          <cell r="AH34">
            <v>2336.4</v>
          </cell>
          <cell r="AI34">
            <v>-6.0000000000000001E-3</v>
          </cell>
          <cell r="AJ34">
            <v>2.7679999999999998</v>
          </cell>
          <cell r="AK34">
            <v>716.91</v>
          </cell>
          <cell r="AL34">
            <v>18.606000000000002</v>
          </cell>
          <cell r="AM34">
            <v>5.58</v>
          </cell>
        </row>
        <row r="35">
          <cell r="A35" t="str">
            <v>Магазин37 (просп.Повітряних Сил, буд.19-А/1)</v>
          </cell>
          <cell r="B35">
            <v>4.9119999999999999</v>
          </cell>
          <cell r="C35">
            <v>3.2519999999999998</v>
          </cell>
          <cell r="D35">
            <v>809.75</v>
          </cell>
          <cell r="F35">
            <v>4.33</v>
          </cell>
          <cell r="G35">
            <v>1034.8900000000001</v>
          </cell>
          <cell r="H35">
            <v>75</v>
          </cell>
          <cell r="I35">
            <v>55</v>
          </cell>
          <cell r="J35">
            <v>4064.5</v>
          </cell>
          <cell r="L35">
            <v>210</v>
          </cell>
          <cell r="M35">
            <v>8379</v>
          </cell>
          <cell r="N35">
            <v>193</v>
          </cell>
          <cell r="O35">
            <v>12</v>
          </cell>
          <cell r="P35">
            <v>274.8</v>
          </cell>
          <cell r="Q35">
            <v>25</v>
          </cell>
          <cell r="R35">
            <v>32</v>
          </cell>
          <cell r="S35">
            <v>1916.8</v>
          </cell>
          <cell r="T35">
            <v>2</v>
          </cell>
          <cell r="U35">
            <v>19</v>
          </cell>
          <cell r="V35">
            <v>948.1</v>
          </cell>
          <cell r="W35">
            <v>10</v>
          </cell>
          <cell r="X35">
            <v>80</v>
          </cell>
          <cell r="Y35">
            <v>1400</v>
          </cell>
          <cell r="Z35">
            <v>0.10199999999999999</v>
          </cell>
          <cell r="AA35">
            <v>5.44</v>
          </cell>
          <cell r="AB35">
            <v>1300.1600000000001</v>
          </cell>
          <cell r="AC35">
            <v>14</v>
          </cell>
          <cell r="AD35">
            <v>58</v>
          </cell>
          <cell r="AE35">
            <v>3474.2</v>
          </cell>
          <cell r="AF35">
            <v>9</v>
          </cell>
          <cell r="AG35">
            <v>41</v>
          </cell>
          <cell r="AH35">
            <v>2660.9</v>
          </cell>
          <cell r="AI35">
            <v>-0.35299999999999998</v>
          </cell>
          <cell r="AJ35">
            <v>25.108000000000001</v>
          </cell>
          <cell r="AK35">
            <v>6502.97</v>
          </cell>
          <cell r="AL35">
            <v>76.822000000000003</v>
          </cell>
          <cell r="AM35">
            <v>46.387999999999998</v>
          </cell>
        </row>
        <row r="36">
          <cell r="A36" t="str">
            <v>Магазин38 (м.Чернігів, вул.Всіхсвятська, буд 5)</v>
          </cell>
          <cell r="B36">
            <v>1.228</v>
          </cell>
          <cell r="C36">
            <v>4.25</v>
          </cell>
          <cell r="D36">
            <v>1058.26</v>
          </cell>
          <cell r="I36">
            <v>8</v>
          </cell>
          <cell r="J36">
            <v>591.20000000000005</v>
          </cell>
          <cell r="K36">
            <v>9</v>
          </cell>
          <cell r="L36">
            <v>95</v>
          </cell>
          <cell r="M36">
            <v>3790.5</v>
          </cell>
          <cell r="N36">
            <v>69</v>
          </cell>
          <cell r="O36">
            <v>26</v>
          </cell>
          <cell r="P36">
            <v>595.4</v>
          </cell>
          <cell r="Q36">
            <v>22</v>
          </cell>
          <cell r="R36">
            <v>17</v>
          </cell>
          <cell r="S36">
            <v>1018.3</v>
          </cell>
          <cell r="U36">
            <v>9</v>
          </cell>
          <cell r="V36">
            <v>449.1</v>
          </cell>
          <cell r="W36">
            <v>-14</v>
          </cell>
          <cell r="X36">
            <v>179</v>
          </cell>
          <cell r="Y36">
            <v>3132.5</v>
          </cell>
          <cell r="Z36">
            <v>-0.438</v>
          </cell>
          <cell r="AA36">
            <v>5.2480000000000002</v>
          </cell>
          <cell r="AB36">
            <v>1254.27</v>
          </cell>
          <cell r="AC36">
            <v>1</v>
          </cell>
          <cell r="AD36">
            <v>12</v>
          </cell>
          <cell r="AE36">
            <v>718.8</v>
          </cell>
          <cell r="AF36">
            <v>9</v>
          </cell>
          <cell r="AG36">
            <v>36</v>
          </cell>
          <cell r="AH36">
            <v>2336.4</v>
          </cell>
          <cell r="AL36">
            <v>-1.3740000000000001</v>
          </cell>
          <cell r="AM36">
            <v>34.421999999999997</v>
          </cell>
        </row>
        <row r="37">
          <cell r="A37" t="str">
            <v>Магазин4/1 (смт.Коцюбинське,вул.Пономарьова,28а)</v>
          </cell>
          <cell r="B37">
            <v>1.6739999999999999</v>
          </cell>
          <cell r="C37">
            <v>1.502</v>
          </cell>
          <cell r="D37">
            <v>374</v>
          </cell>
          <cell r="E37">
            <v>-1.0900000000000001</v>
          </cell>
          <cell r="F37">
            <v>2.17</v>
          </cell>
          <cell r="G37">
            <v>501.42</v>
          </cell>
          <cell r="H37">
            <v>2</v>
          </cell>
          <cell r="I37">
            <v>12</v>
          </cell>
          <cell r="J37">
            <v>886.8</v>
          </cell>
          <cell r="L37">
            <v>62</v>
          </cell>
          <cell r="M37">
            <v>2473.8000000000002</v>
          </cell>
          <cell r="N37">
            <v>16</v>
          </cell>
          <cell r="O37">
            <v>12</v>
          </cell>
          <cell r="P37">
            <v>274.8</v>
          </cell>
          <cell r="Q37">
            <v>9</v>
          </cell>
          <cell r="R37">
            <v>13</v>
          </cell>
          <cell r="S37">
            <v>778.7</v>
          </cell>
          <cell r="T37">
            <v>1</v>
          </cell>
          <cell r="U37">
            <v>14</v>
          </cell>
          <cell r="V37">
            <v>698.6</v>
          </cell>
          <cell r="W37">
            <v>3</v>
          </cell>
          <cell r="X37">
            <v>31</v>
          </cell>
          <cell r="Y37">
            <v>542.5</v>
          </cell>
          <cell r="AA37">
            <v>3.21</v>
          </cell>
          <cell r="AB37">
            <v>767.19</v>
          </cell>
          <cell r="AC37">
            <v>21</v>
          </cell>
          <cell r="AD37">
            <v>17</v>
          </cell>
          <cell r="AE37">
            <v>1018.3</v>
          </cell>
          <cell r="AF37">
            <v>10</v>
          </cell>
          <cell r="AG37">
            <v>18</v>
          </cell>
          <cell r="AH37">
            <v>1168.2</v>
          </cell>
          <cell r="AI37">
            <v>0.79400000000000004</v>
          </cell>
          <cell r="AJ37">
            <v>3.1080000000000001</v>
          </cell>
          <cell r="AK37">
            <v>804.98</v>
          </cell>
          <cell r="AL37">
            <v>25.542000000000002</v>
          </cell>
          <cell r="AM37">
            <v>1.5820000000000001</v>
          </cell>
        </row>
        <row r="38">
          <cell r="A38" t="str">
            <v>Магазин40 (м.Біла Церква, вул.Митрофанова, буд.8, прим.1)</v>
          </cell>
          <cell r="B38">
            <v>4.0000000000000001E-3</v>
          </cell>
          <cell r="C38">
            <v>1.87</v>
          </cell>
          <cell r="D38">
            <v>465.63</v>
          </cell>
          <cell r="H38">
            <v>17</v>
          </cell>
          <cell r="I38">
            <v>50</v>
          </cell>
          <cell r="J38">
            <v>3695</v>
          </cell>
          <cell r="K38">
            <v>5</v>
          </cell>
          <cell r="L38">
            <v>93</v>
          </cell>
          <cell r="M38">
            <v>3710.7</v>
          </cell>
          <cell r="N38">
            <v>177</v>
          </cell>
          <cell r="O38">
            <v>18</v>
          </cell>
          <cell r="P38">
            <v>412.2</v>
          </cell>
          <cell r="Q38">
            <v>5</v>
          </cell>
          <cell r="R38">
            <v>19</v>
          </cell>
          <cell r="S38">
            <v>1138.0999999999999</v>
          </cell>
          <cell r="T38">
            <v>1</v>
          </cell>
          <cell r="U38">
            <v>16</v>
          </cell>
          <cell r="V38">
            <v>798.4</v>
          </cell>
          <cell r="W38">
            <v>-160</v>
          </cell>
          <cell r="X38">
            <v>234</v>
          </cell>
          <cell r="Y38">
            <v>4095</v>
          </cell>
          <cell r="Z38">
            <v>0.39400000000000002</v>
          </cell>
          <cell r="AA38">
            <v>1.556</v>
          </cell>
          <cell r="AB38">
            <v>371.88</v>
          </cell>
          <cell r="AC38">
            <v>32</v>
          </cell>
          <cell r="AD38">
            <v>14</v>
          </cell>
          <cell r="AE38">
            <v>838.6</v>
          </cell>
          <cell r="AF38">
            <v>32</v>
          </cell>
          <cell r="AG38">
            <v>58</v>
          </cell>
          <cell r="AH38">
            <v>3764.2</v>
          </cell>
          <cell r="AI38">
            <v>0.44600000000000001</v>
          </cell>
          <cell r="AJ38">
            <v>5.8579999999999997</v>
          </cell>
          <cell r="AK38">
            <v>1517.22</v>
          </cell>
          <cell r="AL38">
            <v>27.556000000000001</v>
          </cell>
          <cell r="AM38">
            <v>11.678000000000001</v>
          </cell>
        </row>
        <row r="39">
          <cell r="A39" t="str">
            <v>Магазин41 (м. Біла Церква, Сквирське шосе, буд.223)</v>
          </cell>
          <cell r="B39">
            <v>1.6220000000000001</v>
          </cell>
          <cell r="C39">
            <v>1.36</v>
          </cell>
          <cell r="D39">
            <v>338.64</v>
          </cell>
          <cell r="E39">
            <v>-0.02</v>
          </cell>
          <cell r="F39">
            <v>1.752</v>
          </cell>
          <cell r="G39">
            <v>418.74</v>
          </cell>
          <cell r="H39">
            <v>27</v>
          </cell>
          <cell r="I39">
            <v>6</v>
          </cell>
          <cell r="J39">
            <v>443.4</v>
          </cell>
          <cell r="K39">
            <v>22</v>
          </cell>
          <cell r="L39">
            <v>17</v>
          </cell>
          <cell r="M39">
            <v>678.3</v>
          </cell>
          <cell r="N39">
            <v>35</v>
          </cell>
          <cell r="O39">
            <v>11</v>
          </cell>
          <cell r="P39">
            <v>251.9</v>
          </cell>
          <cell r="Q39">
            <v>23</v>
          </cell>
          <cell r="R39">
            <v>9</v>
          </cell>
          <cell r="S39">
            <v>539.1</v>
          </cell>
          <cell r="T39">
            <v>14</v>
          </cell>
          <cell r="U39">
            <v>6</v>
          </cell>
          <cell r="V39">
            <v>299.39999999999998</v>
          </cell>
          <cell r="W39">
            <v>3</v>
          </cell>
          <cell r="X39">
            <v>24</v>
          </cell>
          <cell r="Y39">
            <v>420</v>
          </cell>
          <cell r="Z39">
            <v>0.79800000000000004</v>
          </cell>
          <cell r="AC39">
            <v>36</v>
          </cell>
          <cell r="AD39">
            <v>4</v>
          </cell>
          <cell r="AE39">
            <v>239.6</v>
          </cell>
          <cell r="AF39">
            <v>13</v>
          </cell>
          <cell r="AG39">
            <v>11</v>
          </cell>
          <cell r="AH39">
            <v>713.9</v>
          </cell>
          <cell r="AI39">
            <v>0.502</v>
          </cell>
          <cell r="AJ39">
            <v>3.0379999999999998</v>
          </cell>
          <cell r="AK39">
            <v>786.85</v>
          </cell>
          <cell r="AL39">
            <v>27.486000000000001</v>
          </cell>
          <cell r="AM39">
            <v>2.8359999999999999</v>
          </cell>
        </row>
        <row r="40">
          <cell r="A40" t="str">
            <v>Магазин42 (с.Гора, вул.Центральна, буд.20-А)</v>
          </cell>
          <cell r="B40">
            <v>0.52400000000000002</v>
          </cell>
          <cell r="C40">
            <v>4.3520000000000003</v>
          </cell>
          <cell r="D40">
            <v>1083.6300000000001</v>
          </cell>
          <cell r="F40">
            <v>1.44</v>
          </cell>
          <cell r="G40">
            <v>344.15</v>
          </cell>
          <cell r="I40">
            <v>30</v>
          </cell>
          <cell r="J40">
            <v>2217</v>
          </cell>
          <cell r="K40">
            <v>12</v>
          </cell>
          <cell r="L40">
            <v>80</v>
          </cell>
          <cell r="M40">
            <v>3192</v>
          </cell>
          <cell r="N40">
            <v>103</v>
          </cell>
          <cell r="O40">
            <v>14</v>
          </cell>
          <cell r="P40">
            <v>320.60000000000002</v>
          </cell>
          <cell r="Q40">
            <v>29</v>
          </cell>
          <cell r="R40">
            <v>16</v>
          </cell>
          <cell r="S40">
            <v>958.4</v>
          </cell>
          <cell r="T40">
            <v>1</v>
          </cell>
          <cell r="U40">
            <v>16</v>
          </cell>
          <cell r="V40">
            <v>798.4</v>
          </cell>
          <cell r="W40">
            <v>25</v>
          </cell>
          <cell r="X40">
            <v>101</v>
          </cell>
          <cell r="Y40">
            <v>1767.5</v>
          </cell>
          <cell r="Z40">
            <v>0.20200000000000001</v>
          </cell>
          <cell r="AA40">
            <v>3.1560000000000001</v>
          </cell>
          <cell r="AB40">
            <v>754.28</v>
          </cell>
          <cell r="AC40">
            <v>22</v>
          </cell>
          <cell r="AD40">
            <v>17</v>
          </cell>
          <cell r="AE40">
            <v>1018.3</v>
          </cell>
          <cell r="AF40">
            <v>27</v>
          </cell>
          <cell r="AG40">
            <v>13</v>
          </cell>
          <cell r="AH40">
            <v>843.7</v>
          </cell>
          <cell r="AI40">
            <v>-5.6000000000000001E-2</v>
          </cell>
          <cell r="AJ40">
            <v>17.968</v>
          </cell>
          <cell r="AK40">
            <v>4653.7299999999996</v>
          </cell>
          <cell r="AL40">
            <v>30.92</v>
          </cell>
          <cell r="AM40">
            <v>9.5039999999999996</v>
          </cell>
        </row>
        <row r="41">
          <cell r="A41" t="str">
            <v>Магазин43 (м.Боярка, вул Бульварна,буд 2/50)</v>
          </cell>
          <cell r="B41">
            <v>1.294</v>
          </cell>
          <cell r="C41">
            <v>2.3940000000000001</v>
          </cell>
          <cell r="D41">
            <v>596.11</v>
          </cell>
          <cell r="F41">
            <v>3.5579999999999998</v>
          </cell>
          <cell r="G41">
            <v>850.36</v>
          </cell>
          <cell r="H41">
            <v>12</v>
          </cell>
          <cell r="I41">
            <v>11</v>
          </cell>
          <cell r="J41">
            <v>812.9</v>
          </cell>
          <cell r="L41">
            <v>98</v>
          </cell>
          <cell r="M41">
            <v>3910.2</v>
          </cell>
          <cell r="N41">
            <v>186</v>
          </cell>
          <cell r="O41">
            <v>9</v>
          </cell>
          <cell r="P41">
            <v>206.1</v>
          </cell>
          <cell r="Q41">
            <v>12</v>
          </cell>
          <cell r="R41">
            <v>10</v>
          </cell>
          <cell r="S41">
            <v>599</v>
          </cell>
          <cell r="T41">
            <v>5</v>
          </cell>
          <cell r="U41">
            <v>14</v>
          </cell>
          <cell r="V41">
            <v>698.6</v>
          </cell>
          <cell r="X41">
            <v>70</v>
          </cell>
          <cell r="Y41">
            <v>1225</v>
          </cell>
          <cell r="Z41">
            <v>4.3979999999999997</v>
          </cell>
          <cell r="AA41">
            <v>1.234</v>
          </cell>
          <cell r="AB41">
            <v>294.93</v>
          </cell>
          <cell r="AC41">
            <v>25</v>
          </cell>
          <cell r="AD41">
            <v>8</v>
          </cell>
          <cell r="AE41">
            <v>479.2</v>
          </cell>
          <cell r="AF41">
            <v>24</v>
          </cell>
          <cell r="AG41">
            <v>11</v>
          </cell>
          <cell r="AH41">
            <v>713.9</v>
          </cell>
          <cell r="AI41">
            <v>0.996</v>
          </cell>
          <cell r="AJ41">
            <v>5.3</v>
          </cell>
          <cell r="AK41">
            <v>1372.68</v>
          </cell>
          <cell r="AL41">
            <v>27.338000000000001</v>
          </cell>
          <cell r="AM41">
            <v>2.42</v>
          </cell>
        </row>
        <row r="42">
          <cell r="A42" t="str">
            <v>Розпод. центр Легіон (с.Білогородка, вул Аграрна, буд 1 А)</v>
          </cell>
          <cell r="B42"/>
          <cell r="C42"/>
          <cell r="N42">
            <v>361</v>
          </cell>
          <cell r="T42">
            <v>936</v>
          </cell>
        </row>
        <row r="43">
          <cell r="A43" t="str">
            <v>Розпод. центр Рідо (с.Білогородка, вул Аграрна, буд 1 А)</v>
          </cell>
          <cell r="B43"/>
          <cell r="C43"/>
          <cell r="T43">
            <v>816</v>
          </cell>
        </row>
        <row r="44">
          <cell r="A44" t="str">
            <v>Цех заморож.напівфабрикатів(с.Софіївська Борщагівка,вул.Соборна,105/7,прим.201)</v>
          </cell>
          <cell r="B44"/>
          <cell r="C44"/>
          <cell r="E44">
            <v>-133.92699999999999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A40"/>
  <sheetViews>
    <sheetView tabSelected="1" workbookViewId="0">
      <pane xSplit="1" topLeftCell="B1" activePane="topRight" state="frozen"/>
      <selection pane="topRight" activeCell="D32" sqref="D32"/>
    </sheetView>
  </sheetViews>
  <sheetFormatPr defaultColWidth="10.5" defaultRowHeight="11.45" customHeight="1" x14ac:dyDescent="0.2"/>
  <cols>
    <col min="1" max="1" width="53.83203125" style="1" customWidth="1"/>
    <col min="2" max="3" width="13.1640625" style="1" customWidth="1"/>
    <col min="4" max="4" width="9.6640625" style="1" customWidth="1"/>
    <col min="5" max="5" width="12.33203125" style="1" customWidth="1"/>
    <col min="6" max="7" width="12.6640625" style="1" customWidth="1"/>
    <col min="8" max="8" width="10.5" style="1" customWidth="1"/>
    <col min="9" max="9" width="12.6640625" style="1" customWidth="1"/>
    <col min="10" max="11" width="13.6640625" style="1" customWidth="1"/>
    <col min="12" max="12" width="9.83203125" style="1" customWidth="1"/>
    <col min="13" max="13" width="12.83203125" style="1" customWidth="1"/>
    <col min="14" max="14" width="15.33203125" style="1" customWidth="1"/>
    <col min="15" max="15" width="14.5" style="1" customWidth="1"/>
    <col min="16" max="16" width="10.6640625" style="1" customWidth="1"/>
    <col min="17" max="17" width="13.5" style="1" customWidth="1"/>
    <col min="18" max="19" width="14.6640625" style="1" customWidth="1"/>
    <col min="20" max="20" width="10.1640625" style="1" customWidth="1"/>
    <col min="21" max="21" width="12.5" style="1" customWidth="1"/>
    <col min="22" max="22" width="14.83203125" style="1" customWidth="1"/>
    <col min="23" max="23" width="14.5" style="1" customWidth="1"/>
    <col min="24" max="24" width="10.5" style="1" customWidth="1"/>
    <col min="25" max="25" width="12.33203125" style="1" customWidth="1"/>
    <col min="26" max="26" width="14" style="1" customWidth="1"/>
    <col min="27" max="27" width="14.1640625" style="1" customWidth="1"/>
    <col min="28" max="28" width="9.6640625" style="1" customWidth="1"/>
    <col min="29" max="29" width="13.33203125" style="1" customWidth="1"/>
    <col min="30" max="31" width="14.6640625" style="1" customWidth="1"/>
    <col min="32" max="32" width="10.1640625" style="1" customWidth="1"/>
    <col min="33" max="33" width="13.5" style="1" customWidth="1"/>
    <col min="34" max="34" width="14" style="1" customWidth="1"/>
    <col min="35" max="35" width="14.6640625" style="1" customWidth="1"/>
    <col min="36" max="36" width="10" style="1" customWidth="1"/>
    <col min="37" max="37" width="12.33203125" style="1" customWidth="1"/>
    <col min="38" max="39" width="14" style="1" customWidth="1"/>
    <col min="40" max="40" width="10.33203125" style="1" customWidth="1"/>
    <col min="41" max="41" width="12.5" style="1" customWidth="1"/>
    <col min="42" max="43" width="14" style="1" customWidth="1"/>
    <col min="44" max="44" width="9.83203125" style="1" customWidth="1"/>
    <col min="45" max="45" width="12.33203125" style="1" customWidth="1"/>
    <col min="46" max="47" width="14.5" style="1" customWidth="1"/>
    <col min="48" max="48" width="10.6640625" style="1" customWidth="1"/>
    <col min="49" max="49" width="12.33203125" style="1" customWidth="1"/>
    <col min="50" max="51" width="14.5" style="1" customWidth="1"/>
    <col min="52" max="52" width="10.1640625" style="1" customWidth="1"/>
    <col min="53" max="53" width="12.5" style="1" customWidth="1"/>
  </cols>
  <sheetData>
    <row r="1" spans="1:53" ht="13.15" customHeight="1" x14ac:dyDescent="0.2">
      <c r="A1" s="13" t="s">
        <v>0</v>
      </c>
      <c r="B1" s="16">
        <f>[2]TDSheet!$B$1</f>
        <v>45306</v>
      </c>
      <c r="C1" s="17"/>
      <c r="D1" s="17"/>
      <c r="E1" s="18"/>
      <c r="F1" s="16">
        <f>[2]TDSheet!$E$1</f>
        <v>56579</v>
      </c>
      <c r="G1" s="17"/>
      <c r="H1" s="17"/>
      <c r="I1" s="18"/>
      <c r="J1" s="16">
        <f>[2]TDSheet!$H$1</f>
        <v>64445</v>
      </c>
      <c r="K1" s="17"/>
      <c r="L1" s="17"/>
      <c r="M1" s="18"/>
      <c r="N1" s="16">
        <f>[2]TDSheet!$K$1</f>
        <v>63274</v>
      </c>
      <c r="O1" s="17"/>
      <c r="P1" s="17"/>
      <c r="Q1" s="18"/>
      <c r="R1" s="16">
        <f>[2]TDSheet!$N$1</f>
        <v>63093</v>
      </c>
      <c r="S1" s="17"/>
      <c r="T1" s="17"/>
      <c r="U1" s="18"/>
      <c r="V1" s="16">
        <f>[2]TDSheet!$Q$1</f>
        <v>61183</v>
      </c>
      <c r="W1" s="17"/>
      <c r="X1" s="17"/>
      <c r="Y1" s="18"/>
      <c r="Z1" s="16">
        <f>[2]TDSheet!$T$1</f>
        <v>63630</v>
      </c>
      <c r="AA1" s="17"/>
      <c r="AB1" s="17"/>
      <c r="AC1" s="18"/>
      <c r="AD1" s="16">
        <f>[2]TDSheet!$W$1</f>
        <v>22769</v>
      </c>
      <c r="AE1" s="17"/>
      <c r="AF1" s="17"/>
      <c r="AG1" s="18"/>
      <c r="AH1" s="16">
        <f>[2]TDSheet!$Z$1</f>
        <v>64322</v>
      </c>
      <c r="AI1" s="17"/>
      <c r="AJ1" s="17"/>
      <c r="AK1" s="18"/>
      <c r="AL1" s="16">
        <f>[2]TDSheet!$AC$1</f>
        <v>50768</v>
      </c>
      <c r="AM1" s="17"/>
      <c r="AN1" s="17"/>
      <c r="AO1" s="18"/>
      <c r="AP1" s="22">
        <f>[2]TDSheet!$AF$1</f>
        <v>19129</v>
      </c>
      <c r="AQ1" s="23"/>
      <c r="AR1" s="23"/>
      <c r="AS1" s="24"/>
      <c r="AT1" s="22">
        <f>[2]TDSheet!$AI$1</f>
        <v>14286</v>
      </c>
      <c r="AU1" s="23"/>
      <c r="AV1" s="23"/>
      <c r="AW1" s="24"/>
      <c r="AX1" s="22">
        <f>[2]TDSheet!$AL$1</f>
        <v>11042</v>
      </c>
      <c r="AY1" s="23"/>
      <c r="AZ1" s="23"/>
      <c r="BA1" s="24"/>
    </row>
    <row r="2" spans="1:53" ht="25.9" customHeight="1" x14ac:dyDescent="0.2">
      <c r="A2" s="14"/>
      <c r="B2" s="19" t="str">
        <f>[2]TDSheet!$B$3</f>
        <v>Ковбаса Баликова н/к 1г ваг (Власн.вироб)</v>
      </c>
      <c r="C2" s="20"/>
      <c r="D2" s="20"/>
      <c r="E2" s="21"/>
      <c r="F2" s="19" t="str">
        <f>[2]TDSheet!$E$3</f>
        <v>Котлета куряча смажена охол.ваг НЕ ПАРСЯ</v>
      </c>
      <c r="G2" s="20"/>
      <c r="H2" s="20"/>
      <c r="I2" s="21"/>
      <c r="J2" s="19" t="str">
        <f>[2]TDSheet!$H$3</f>
        <v>Масло L`extra солодковершкове  Екстра 82% 180г</v>
      </c>
      <c r="K2" s="20"/>
      <c r="L2" s="20"/>
      <c r="M2" s="21"/>
      <c r="N2" s="19" t="str">
        <f>[2]TDSheet!$K$3</f>
        <v>Молоко Ферма ультрапастеризоване 2,5% TF 900г</v>
      </c>
      <c r="O2" s="20"/>
      <c r="P2" s="20"/>
      <c r="Q2" s="21"/>
      <c r="R2" s="19" t="str">
        <f>[2]TDSheet!$N$3</f>
        <v>Напій Pulse Mango енерг.б/а 250мл</v>
      </c>
      <c r="S2" s="20"/>
      <c r="T2" s="20"/>
      <c r="U2" s="21"/>
      <c r="V2" s="19" t="str">
        <f>[2]TDSheet!$Q$3</f>
        <v>Нектар Jaffa Мультифруктовий Тропічні фрукти т/п 0,95л</v>
      </c>
      <c r="W2" s="20"/>
      <c r="X2" s="20"/>
      <c r="Y2" s="21"/>
      <c r="Z2" s="19" t="str">
        <f>[2]TDSheet!$T$3</f>
        <v>Пиво Grimbergen Бланш 6% з/б 0,5л</v>
      </c>
      <c r="AA2" s="20"/>
      <c r="AB2" s="20"/>
      <c r="AC2" s="21"/>
      <c r="AD2" s="19" t="str">
        <f>[2]TDSheet!$W$3</f>
        <v>Плюшка маленька з цукром 120г (Власн.вироб)</v>
      </c>
      <c r="AE2" s="20"/>
      <c r="AF2" s="20"/>
      <c r="AG2" s="21"/>
      <c r="AH2" s="19" t="str">
        <f>[2]TDSheet!$Z$3</f>
        <v>Сардельки Фірмові з сиром в/к 1г ваг(Власн.вироб)</v>
      </c>
      <c r="AI2" s="20"/>
      <c r="AJ2" s="20"/>
      <c r="AK2" s="21"/>
      <c r="AL2" s="19" t="str">
        <f>[2]TDSheet!$AC$3</f>
        <v>Сік Jaffa Томат з морською сіллю т/п 1л</v>
      </c>
      <c r="AM2" s="20"/>
      <c r="AN2" s="20"/>
      <c r="AO2" s="21"/>
      <c r="AP2" s="19" t="str">
        <f>[2]TDSheet!$AF$3</f>
        <v>Сосиски Ранчо з яловичиною в/г п/а 275г</v>
      </c>
      <c r="AQ2" s="20"/>
      <c r="AR2" s="20"/>
      <c r="AS2" s="21"/>
      <c r="AT2" s="25" t="str">
        <f>[2]TDSheet!$AI$3</f>
        <v>Торт Наполеон ваг (Власн.вироб)</v>
      </c>
      <c r="AU2" s="26"/>
      <c r="AV2" s="26"/>
      <c r="AW2" s="27"/>
      <c r="AX2" s="25" t="str">
        <f>[2]TDSheet!$AL$3</f>
        <v>Цукерки Конті Шоколадні історії Джек ваг</v>
      </c>
      <c r="AY2" s="26"/>
      <c r="AZ2" s="26"/>
      <c r="BA2" s="27"/>
    </row>
    <row r="3" spans="1:53" ht="37.9" customHeight="1" x14ac:dyDescent="0.2">
      <c r="A3" s="15"/>
      <c r="B3" s="3" t="s">
        <v>39</v>
      </c>
      <c r="C3" s="4" t="s">
        <v>40</v>
      </c>
      <c r="D3" s="4" t="s">
        <v>38</v>
      </c>
      <c r="E3" s="6" t="s">
        <v>41</v>
      </c>
      <c r="F3" s="3" t="str">
        <f>B3</f>
        <v>К-ть продаж з 25.08 по 31.08.26</v>
      </c>
      <c r="G3" s="4" t="str">
        <f>C3</f>
        <v>К-ть продаж з 01.09 по 07.09.26</v>
      </c>
      <c r="H3" s="4" t="s">
        <v>38</v>
      </c>
      <c r="I3" s="6" t="str">
        <f>E3</f>
        <v>Залишок на 09.09.26</v>
      </c>
      <c r="J3" s="3" t="str">
        <f>F3</f>
        <v>К-ть продаж з 25.08 по 31.08.26</v>
      </c>
      <c r="K3" s="4" t="str">
        <f>G3</f>
        <v>К-ть продаж з 01.09 по 07.09.26</v>
      </c>
      <c r="L3" s="4" t="s">
        <v>38</v>
      </c>
      <c r="M3" s="6" t="str">
        <f>I3</f>
        <v>Залишок на 09.09.26</v>
      </c>
      <c r="N3" s="3" t="str">
        <f>J3</f>
        <v>К-ть продаж з 25.08 по 31.08.26</v>
      </c>
      <c r="O3" s="4" t="str">
        <f>K3</f>
        <v>К-ть продаж з 01.09 по 07.09.26</v>
      </c>
      <c r="P3" s="4" t="s">
        <v>38</v>
      </c>
      <c r="Q3" s="6" t="str">
        <f>M3</f>
        <v>Залишок на 09.09.26</v>
      </c>
      <c r="R3" s="3" t="str">
        <f>N3</f>
        <v>К-ть продаж з 25.08 по 31.08.26</v>
      </c>
      <c r="S3" s="4" t="str">
        <f>O3</f>
        <v>К-ть продаж з 01.09 по 07.09.26</v>
      </c>
      <c r="T3" s="4" t="s">
        <v>38</v>
      </c>
      <c r="U3" s="6" t="str">
        <f>Q3</f>
        <v>Залишок на 09.09.26</v>
      </c>
      <c r="V3" s="3" t="str">
        <f>R3</f>
        <v>К-ть продаж з 25.08 по 31.08.26</v>
      </c>
      <c r="W3" s="4" t="str">
        <f>S3</f>
        <v>К-ть продаж з 01.09 по 07.09.26</v>
      </c>
      <c r="X3" s="4" t="s">
        <v>38</v>
      </c>
      <c r="Y3" s="6" t="str">
        <f>U3</f>
        <v>Залишок на 09.09.26</v>
      </c>
      <c r="Z3" s="3" t="str">
        <f>V3</f>
        <v>К-ть продаж з 25.08 по 31.08.26</v>
      </c>
      <c r="AA3" s="4" t="str">
        <f>W3</f>
        <v>К-ть продаж з 01.09 по 07.09.26</v>
      </c>
      <c r="AB3" s="4" t="s">
        <v>38</v>
      </c>
      <c r="AC3" s="6" t="str">
        <f>Y3</f>
        <v>Залишок на 09.09.26</v>
      </c>
      <c r="AD3" s="3" t="str">
        <f>Z3</f>
        <v>К-ть продаж з 25.08 по 31.08.26</v>
      </c>
      <c r="AE3" s="4" t="str">
        <f>AA3</f>
        <v>К-ть продаж з 01.09 по 07.09.26</v>
      </c>
      <c r="AF3" s="4" t="s">
        <v>38</v>
      </c>
      <c r="AG3" s="6" t="str">
        <f>AC3</f>
        <v>Залишок на 09.09.26</v>
      </c>
      <c r="AH3" s="3" t="str">
        <f>AD3</f>
        <v>К-ть продаж з 25.08 по 31.08.26</v>
      </c>
      <c r="AI3" s="4" t="str">
        <f>AE3</f>
        <v>К-ть продаж з 01.09 по 07.09.26</v>
      </c>
      <c r="AJ3" s="4" t="s">
        <v>38</v>
      </c>
      <c r="AK3" s="6" t="str">
        <f>AG3</f>
        <v>Залишок на 09.09.26</v>
      </c>
      <c r="AL3" s="3" t="str">
        <f>AH3</f>
        <v>К-ть продаж з 25.08 по 31.08.26</v>
      </c>
      <c r="AM3" s="4" t="str">
        <f>AI3</f>
        <v>К-ть продаж з 01.09 по 07.09.26</v>
      </c>
      <c r="AN3" s="4" t="s">
        <v>38</v>
      </c>
      <c r="AO3" s="6" t="str">
        <f>AK3</f>
        <v>Залишок на 09.09.26</v>
      </c>
      <c r="AP3" s="3" t="str">
        <f>AL3</f>
        <v>К-ть продаж з 25.08 по 31.08.26</v>
      </c>
      <c r="AQ3" s="4" t="str">
        <f>AI3</f>
        <v>К-ть продаж з 01.09 по 07.09.26</v>
      </c>
      <c r="AR3" s="4" t="s">
        <v>38</v>
      </c>
      <c r="AS3" s="6" t="str">
        <f>AO3</f>
        <v>Залишок на 09.09.26</v>
      </c>
      <c r="AT3" s="3" t="str">
        <f>AP3</f>
        <v>К-ть продаж з 25.08 по 31.08.26</v>
      </c>
      <c r="AU3" s="4" t="str">
        <f>AQ3</f>
        <v>К-ть продаж з 01.09 по 07.09.26</v>
      </c>
      <c r="AV3" s="4" t="s">
        <v>38</v>
      </c>
      <c r="AW3" s="6" t="str">
        <f>AS3</f>
        <v>Залишок на 09.09.26</v>
      </c>
      <c r="AX3" s="3" t="str">
        <f>AP3</f>
        <v>К-ть продаж з 25.08 по 31.08.26</v>
      </c>
      <c r="AY3" s="4" t="str">
        <f>AU3</f>
        <v>К-ть продаж з 01.09 по 07.09.26</v>
      </c>
      <c r="AZ3" s="4" t="s">
        <v>38</v>
      </c>
      <c r="BA3" s="5" t="str">
        <f>AW3</f>
        <v>Залишок на 09.09.26</v>
      </c>
    </row>
    <row r="4" spans="1:53" ht="10.9" customHeight="1" x14ac:dyDescent="0.2">
      <c r="A4" s="2" t="s">
        <v>2</v>
      </c>
      <c r="B4" s="8">
        <f>VLOOKUP(A4:A39,[1]TDSheet!$A$6:$C$43,3,)</f>
        <v>1.968</v>
      </c>
      <c r="C4" s="9">
        <f>VLOOKUP(A4:A39,[2]TDSheet!$A$6:$C$44,3,)</f>
        <v>4.8360000000000003</v>
      </c>
      <c r="D4" s="7">
        <f>C4/B4</f>
        <v>2.4573170731707319</v>
      </c>
      <c r="E4" s="10">
        <f>VLOOKUP(A4:A39,[2]TDSheet!$A$6:$B$44,2,)</f>
        <v>2.0990000000000002</v>
      </c>
      <c r="F4" s="8">
        <f>VLOOKUP(A4:A39,[1]TDSheet!$A$6:$F$43,6,)</f>
        <v>0</v>
      </c>
      <c r="G4" s="9">
        <f>VLOOKUP(A4:A39,[2]TDSheet!$A$6:$F$44,6,)</f>
        <v>1.786</v>
      </c>
      <c r="H4" s="7" t="e">
        <f>G4/F4</f>
        <v>#DIV/0!</v>
      </c>
      <c r="I4" s="28">
        <f>VLOOKUP(A4:A39,[2]TDSheet!$A$6:$E$44,5,)</f>
        <v>0.36399999999999999</v>
      </c>
      <c r="J4" s="8">
        <f>VLOOKUP(A4:A39,[1]TDSheet!$A$6:$I$43,9,)</f>
        <v>2</v>
      </c>
      <c r="K4" s="9">
        <f>VLOOKUP(A4:A39,[2]TDSheet!$A$6:$I$44,9,)</f>
        <v>8</v>
      </c>
      <c r="L4" s="7">
        <f>K4/J4</f>
        <v>4</v>
      </c>
      <c r="M4" s="10">
        <f>VLOOKUP(A4:A39,[2]TDSheet!$A$6:$H$44,8,)</f>
        <v>0</v>
      </c>
      <c r="N4" s="8">
        <f>VLOOKUP(A4:A39,[1]TDSheet!$A$6:$L$43,12,)</f>
        <v>0</v>
      </c>
      <c r="O4" s="9">
        <f>VLOOKUP(A4:A39,[2]TDSheet!$A$6:$L$44,12,)</f>
        <v>120</v>
      </c>
      <c r="P4" s="7" t="e">
        <f>O4/N4</f>
        <v>#DIV/0!</v>
      </c>
      <c r="Q4" s="10">
        <f>VLOOKUP(A4:A39,[2]TDSheet!$A$6:$K$44,11,)</f>
        <v>0</v>
      </c>
      <c r="R4" s="8">
        <f>VLOOKUP(A4:A39,[1]TDSheet!$A$6:$O$43,15,)</f>
        <v>12</v>
      </c>
      <c r="S4" s="9">
        <f>VLOOKUP(A4:A39,[2]TDSheet!$A$6:$O$44,15,)</f>
        <v>44</v>
      </c>
      <c r="T4" s="7">
        <f>S4/R4</f>
        <v>3.6666666666666665</v>
      </c>
      <c r="U4" s="10">
        <f>VLOOKUP(A4:A39,[2]TDSheet!$A$6:$N$44,14,)</f>
        <v>47</v>
      </c>
      <c r="V4" s="8">
        <f>VLOOKUP(A4:A39,[1]TDSheet!$A$6:$R$43,18)</f>
        <v>2</v>
      </c>
      <c r="W4" s="9">
        <f>VLOOKUP(A4:A39,[2]TDSheet!$A$6:$R$44,18,)</f>
        <v>14</v>
      </c>
      <c r="X4" s="7">
        <f>W4/V4</f>
        <v>7</v>
      </c>
      <c r="Y4" s="10">
        <f>VLOOKUP(A4:A39,[2]TDSheet!$A$6:$Q$44,17,)</f>
        <v>0</v>
      </c>
      <c r="Z4" s="8">
        <f>VLOOKUP(A4:A39,[1]TDSheet!$A$6:$U$44,21,)</f>
        <v>2</v>
      </c>
      <c r="AA4" s="9">
        <f>VLOOKUP(A4:A39,[2]TDSheet!$A$6:$U$44,21,)</f>
        <v>18</v>
      </c>
      <c r="AB4" s="7">
        <f>AA4/Z4</f>
        <v>9</v>
      </c>
      <c r="AC4" s="10">
        <f>VLOOKUP(A4:A39,[2]TDSheet!$A$6:$T$44,20,)</f>
        <v>12</v>
      </c>
      <c r="AD4" s="8">
        <f>VLOOKUP(A4:A39,[1]TDSheet!$A$6:$X$43,24,)</f>
        <v>0</v>
      </c>
      <c r="AE4" s="9">
        <f>VLOOKUP(A4:A39,[2]TDSheet!$A$6:$X$44,24,)</f>
        <v>217</v>
      </c>
      <c r="AF4" s="7" t="e">
        <f>AE4/AD4</f>
        <v>#DIV/0!</v>
      </c>
      <c r="AG4" s="10">
        <f>VLOOKUP(A4:A39,[2]TDSheet!$A$6:$W$44,23,)</f>
        <v>-18</v>
      </c>
      <c r="AH4" s="8">
        <f>VLOOKUP(A4:A39,[1]TDSheet!$A$6:$AA$43,27,)</f>
        <v>0</v>
      </c>
      <c r="AI4" s="9">
        <f>VLOOKUP(A4:A39,[2]TDSheet!$A$6:$AA$44,27,)</f>
        <v>2.3879999999999999</v>
      </c>
      <c r="AJ4" s="7" t="e">
        <f>AI4/AH4</f>
        <v>#DIV/0!</v>
      </c>
      <c r="AK4" s="10">
        <f>VLOOKUP(A4:A39,[2]TDSheet!$A$6:$Z$44,26,)</f>
        <v>1.5980000000000001</v>
      </c>
      <c r="AL4" s="8">
        <f>VLOOKUP(A4:A39,[1]TDSheet!$A$6:$AD$43,30,)</f>
        <v>0</v>
      </c>
      <c r="AM4" s="9">
        <f>VLOOKUP(A4:A39,[2]TDSheet!$A$6:$AD$44,30,)</f>
        <v>14</v>
      </c>
      <c r="AN4" s="7" t="e">
        <f>AM4/AL4</f>
        <v>#DIV/0!</v>
      </c>
      <c r="AO4" s="10">
        <f>VLOOKUP(A4:A39,[2]TDSheet!$A$6:$AC$44,29,)</f>
        <v>0</v>
      </c>
      <c r="AP4" s="8">
        <f>VLOOKUP(A4:A39,[1]TDSheet!$A$6:$AG$43,33,)</f>
        <v>0</v>
      </c>
      <c r="AQ4" s="9">
        <f>VLOOKUP(A4:A39,[2]TDSheet!$A$6:$AG$44,33,)</f>
        <v>32</v>
      </c>
      <c r="AR4" s="7" t="e">
        <f>AQ4/AP4</f>
        <v>#DIV/0!</v>
      </c>
      <c r="AS4" s="10">
        <f>VLOOKUP(A4:A39,[2]TDSheet!$A$6:$AF$44,32,)</f>
        <v>25</v>
      </c>
      <c r="AT4" s="8">
        <f>VLOOKUP(A4:A39,[1]TDSheet!$A$6:$AJ$43,36,)</f>
        <v>1.782</v>
      </c>
      <c r="AU4" s="9">
        <f>VLOOKUP(A4:A39,[2]TDSheet!$A$6:$AJ$44,36,)</f>
        <v>13.683999999999999</v>
      </c>
      <c r="AV4" s="7">
        <f>AU4/AT4</f>
        <v>7.6790123456790118</v>
      </c>
      <c r="AW4" s="10">
        <f>VLOOKUP(A4:A39,[2]TDSheet!$A$6:$AI$44,35)</f>
        <v>1.3520000000000001</v>
      </c>
      <c r="AX4" s="8">
        <f>VLOOKUP(A4:A39,[1]TDSheet!$A$6:$AM$43,39,)</f>
        <v>7.1999999999999995E-2</v>
      </c>
      <c r="AY4" s="29">
        <f>VLOOKUP(A4:A39,[2]TDSheet!$A$6:$AM$44,39,)</f>
        <v>25.776</v>
      </c>
      <c r="AZ4" s="7">
        <f>AY4/AX4</f>
        <v>358</v>
      </c>
      <c r="BA4" s="30">
        <f>VLOOKUP(A4:A39,[2]TDSheet!$A$6:$AL$44,38,)</f>
        <v>28.626000000000001</v>
      </c>
    </row>
    <row r="5" spans="1:53" ht="10.9" customHeight="1" x14ac:dyDescent="0.2">
      <c r="A5" s="2" t="s">
        <v>3</v>
      </c>
      <c r="B5" s="8">
        <f>VLOOKUP(A5:A40,[1]TDSheet!$A$6:$C$43,3,)</f>
        <v>1.9239999999999999</v>
      </c>
      <c r="C5" s="9">
        <f>VLOOKUP(A5:A40,[2]TDSheet!$A$6:$C$44,3,)</f>
        <v>2.508</v>
      </c>
      <c r="D5" s="7">
        <f t="shared" ref="D5:D39" si="0">C5/B5</f>
        <v>1.3035343035343037</v>
      </c>
      <c r="E5" s="10">
        <f>VLOOKUP(A5:A40,[2]TDSheet!$A$6:$B$44,2,)</f>
        <v>4.7679999999999998</v>
      </c>
      <c r="F5" s="8">
        <f>VLOOKUP(A5:A40,[1]TDSheet!$A$6:$F$43,6,)</f>
        <v>2.1320000000000001</v>
      </c>
      <c r="G5" s="9">
        <f>VLOOKUP(A5:A40,[2]TDSheet!$A$6:$F$44,6,)</f>
        <v>6.5780000000000003</v>
      </c>
      <c r="H5" s="7">
        <f t="shared" ref="H5:H39" si="1">G5/F5</f>
        <v>3.0853658536585367</v>
      </c>
      <c r="I5" s="28">
        <f>VLOOKUP(A5:A40,[2]TDSheet!$A$6:$E$44,5,)</f>
        <v>3.7999999999999999E-2</v>
      </c>
      <c r="J5" s="8">
        <f>VLOOKUP(A5:A40,[1]TDSheet!$A$6:$I$43,9,)</f>
        <v>1</v>
      </c>
      <c r="K5" s="9">
        <f>VLOOKUP(A5:A40,[2]TDSheet!$A$6:$I$44,9,)</f>
        <v>8</v>
      </c>
      <c r="L5" s="7">
        <f t="shared" ref="L5:L39" si="2">K5/J5</f>
        <v>8</v>
      </c>
      <c r="M5" s="10">
        <f>VLOOKUP(A5:A40,[2]TDSheet!$A$6:$H$44,8,)</f>
        <v>0</v>
      </c>
      <c r="N5" s="8">
        <f>VLOOKUP(A5:A40,[1]TDSheet!$A$6:$L$43,12,)</f>
        <v>2</v>
      </c>
      <c r="O5" s="9">
        <f>VLOOKUP(A5:A40,[2]TDSheet!$A$6:$L$44,12,)</f>
        <v>44</v>
      </c>
      <c r="P5" s="7">
        <f t="shared" ref="P5:P39" si="3">O5/N5</f>
        <v>22</v>
      </c>
      <c r="Q5" s="10">
        <f>VLOOKUP(A5:A40,[2]TDSheet!$A$6:$K$44,11,)</f>
        <v>0</v>
      </c>
      <c r="R5" s="8">
        <f>VLOOKUP(A5:A40,[1]TDSheet!$A$6:$O$43,15,)</f>
        <v>0</v>
      </c>
      <c r="S5" s="9">
        <f>VLOOKUP(A5:A40,[2]TDSheet!$A$6:$O$44,15,)</f>
        <v>5</v>
      </c>
      <c r="T5" s="7" t="e">
        <f t="shared" ref="T5:T39" si="4">S5/R5</f>
        <v>#DIV/0!</v>
      </c>
      <c r="U5" s="10">
        <f>VLOOKUP(A5:A40,[2]TDSheet!$A$6:$N$44,14,)</f>
        <v>42</v>
      </c>
      <c r="V5" s="8">
        <f>VLOOKUP(A5:A40,[1]TDSheet!$A$6:$R$43,18)</f>
        <v>2</v>
      </c>
      <c r="W5" s="9">
        <f>VLOOKUP(A5:A40,[2]TDSheet!$A$6:$R$44,18,)</f>
        <v>16</v>
      </c>
      <c r="X5" s="7">
        <f t="shared" ref="X5:X39" si="5">W5/V5</f>
        <v>8</v>
      </c>
      <c r="Y5" s="10">
        <f>VLOOKUP(A5:A40,[2]TDSheet!$A$6:$Q$44,17,)</f>
        <v>3</v>
      </c>
      <c r="Z5" s="8">
        <f>VLOOKUP(A5:A40,[1]TDSheet!$A$6:$U$44,21,)</f>
        <v>6</v>
      </c>
      <c r="AA5" s="9">
        <f>VLOOKUP(A5:A40,[2]TDSheet!$A$6:$U$44,21,)</f>
        <v>9</v>
      </c>
      <c r="AB5" s="7">
        <f t="shared" ref="AB5:AB39" si="6">AA5/Z5</f>
        <v>1.5</v>
      </c>
      <c r="AC5" s="10">
        <f>VLOOKUP(A5:A40,[2]TDSheet!$A$6:$T$44,20,)</f>
        <v>6</v>
      </c>
      <c r="AD5" s="8">
        <f>VLOOKUP(A5:A40,[1]TDSheet!$A$6:$X$43,24,)</f>
        <v>1</v>
      </c>
      <c r="AE5" s="9">
        <f>VLOOKUP(A5:A40,[2]TDSheet!$A$6:$X$44,24,)</f>
        <v>34</v>
      </c>
      <c r="AF5" s="7">
        <f t="shared" ref="AF5:AF39" si="7">AE5/AD5</f>
        <v>34</v>
      </c>
      <c r="AG5" s="10">
        <f>VLOOKUP(A5:A40,[2]TDSheet!$A$6:$W$44,23,)</f>
        <v>15</v>
      </c>
      <c r="AH5" s="8">
        <f>VLOOKUP(A5:A40,[1]TDSheet!$A$6:$AA$43,27,)</f>
        <v>0.39800000000000002</v>
      </c>
      <c r="AI5" s="9">
        <f>VLOOKUP(A5:A40,[2]TDSheet!$A$6:$AA$44,27,)</f>
        <v>2.8420000000000001</v>
      </c>
      <c r="AJ5" s="7">
        <f t="shared" ref="AJ5:AJ39" si="8">AI5/AH5</f>
        <v>7.1407035175879399</v>
      </c>
      <c r="AK5" s="10">
        <f>VLOOKUP(A5:A40,[2]TDSheet!$A$6:$Z$44,26,)</f>
        <v>4.8460000000000001</v>
      </c>
      <c r="AL5" s="8">
        <f>VLOOKUP(A5:A40,[1]TDSheet!$A$6:$AD$43,30,)</f>
        <v>5</v>
      </c>
      <c r="AM5" s="9">
        <f>VLOOKUP(A5:A40,[2]TDSheet!$A$6:$AD$44,30,)</f>
        <v>8</v>
      </c>
      <c r="AN5" s="7">
        <f t="shared" ref="AN5:AN39" si="9">AM5/AL5</f>
        <v>1.6</v>
      </c>
      <c r="AO5" s="10">
        <f>VLOOKUP(A5:A40,[2]TDSheet!$A$6:$AC$44,29,)</f>
        <v>17</v>
      </c>
      <c r="AP5" s="8">
        <f>VLOOKUP(A5:A40,[1]TDSheet!$A$6:$AG$43,33,)</f>
        <v>4</v>
      </c>
      <c r="AQ5" s="9">
        <f>VLOOKUP(A5:A40,[2]TDSheet!$A$6:$AG$44,33,)</f>
        <v>22</v>
      </c>
      <c r="AR5" s="7">
        <f t="shared" ref="AR5:AR39" si="10">AQ5/AP5</f>
        <v>5.5</v>
      </c>
      <c r="AS5" s="10">
        <f>VLOOKUP(A5:A40,[2]TDSheet!$A$6:$AF$44,32,)</f>
        <v>12</v>
      </c>
      <c r="AT5" s="8">
        <f>VLOOKUP(A5:A40,[1]TDSheet!$A$6:$AJ$43,36,)</f>
        <v>0.83</v>
      </c>
      <c r="AU5" s="9">
        <f>VLOOKUP(A5:A40,[2]TDSheet!$A$6:$AJ$44,36,)</f>
        <v>5.47</v>
      </c>
      <c r="AV5" s="7">
        <f t="shared" ref="AV5:AV39" si="11">AU5/AT5</f>
        <v>6.5903614457831328</v>
      </c>
      <c r="AW5" s="10">
        <f>VLOOKUP(A5:A40,[2]TDSheet!$A$6:$AI$44,35)</f>
        <v>3.1419999999999999</v>
      </c>
      <c r="AX5" s="8">
        <f>VLOOKUP(A5:A40,[1]TDSheet!$A$6:$AM$43,39,)</f>
        <v>0.56799999999999995</v>
      </c>
      <c r="AY5" s="29">
        <f>VLOOKUP(A5:A40,[2]TDSheet!$A$6:$AM$44,39,)</f>
        <v>6.8079999999999998</v>
      </c>
      <c r="AZ5" s="7">
        <f t="shared" ref="AZ5:AZ39" si="12">AY5/AX5</f>
        <v>11.985915492957748</v>
      </c>
      <c r="BA5" s="30">
        <f>VLOOKUP(A5:A40,[2]TDSheet!$A$6:$AL$44,38,)</f>
        <v>7.8380000000000001</v>
      </c>
    </row>
    <row r="6" spans="1:53" ht="10.9" customHeight="1" x14ac:dyDescent="0.2">
      <c r="A6" s="2" t="s">
        <v>4</v>
      </c>
      <c r="B6" s="8">
        <f>VLOOKUP(A6:A41,[1]TDSheet!$A$6:$C$43,3,)</f>
        <v>3.6059999999999999</v>
      </c>
      <c r="C6" s="9">
        <f>VLOOKUP(A6:A41,[2]TDSheet!$A$6:$C$44,3,)</f>
        <v>1.498</v>
      </c>
      <c r="D6" s="7">
        <f t="shared" si="0"/>
        <v>0.41541874653355521</v>
      </c>
      <c r="E6" s="10">
        <f>VLOOKUP(A6:A41,[2]TDSheet!$A$6:$B$44,2,)</f>
        <v>1.766</v>
      </c>
      <c r="F6" s="8">
        <f>VLOOKUP(A6:A41,[1]TDSheet!$A$6:$F$43,6,)</f>
        <v>2.1459999999999999</v>
      </c>
      <c r="G6" s="9">
        <f>VLOOKUP(A6:A41,[2]TDSheet!$A$6:$F$44,6,)</f>
        <v>3.5920000000000001</v>
      </c>
      <c r="H6" s="7">
        <f t="shared" si="1"/>
        <v>1.6738117427772601</v>
      </c>
      <c r="I6" s="28">
        <f>VLOOKUP(A6:A41,[2]TDSheet!$A$6:$E$44,5,)</f>
        <v>0</v>
      </c>
      <c r="J6" s="8">
        <f>VLOOKUP(A6:A41,[1]TDSheet!$A$6:$I$43,9,)</f>
        <v>0</v>
      </c>
      <c r="K6" s="9">
        <f>VLOOKUP(A6:A41,[2]TDSheet!$A$6:$I$44,9,)</f>
        <v>22</v>
      </c>
      <c r="L6" s="7" t="e">
        <f t="shared" si="2"/>
        <v>#DIV/0!</v>
      </c>
      <c r="M6" s="10">
        <f>VLOOKUP(A6:A41,[2]TDSheet!$A$6:$H$44,8,)</f>
        <v>8</v>
      </c>
      <c r="N6" s="8">
        <f>VLOOKUP(A6:A41,[1]TDSheet!$A$6:$L$43,12,)</f>
        <v>2</v>
      </c>
      <c r="O6" s="9">
        <f>VLOOKUP(A6:A41,[2]TDSheet!$A$6:$L$44,12,)</f>
        <v>32</v>
      </c>
      <c r="P6" s="7">
        <f t="shared" si="3"/>
        <v>16</v>
      </c>
      <c r="Q6" s="10">
        <f>VLOOKUP(A6:A41,[2]TDSheet!$A$6:$K$44,11,)</f>
        <v>38</v>
      </c>
      <c r="R6" s="8">
        <f>VLOOKUP(A6:A41,[1]TDSheet!$A$6:$O$43,15,)</f>
        <v>1</v>
      </c>
      <c r="S6" s="9">
        <f>VLOOKUP(A6:A41,[2]TDSheet!$A$6:$O$44,15,)</f>
        <v>6</v>
      </c>
      <c r="T6" s="7">
        <f t="shared" si="4"/>
        <v>6</v>
      </c>
      <c r="U6" s="10">
        <f>VLOOKUP(A6:A41,[2]TDSheet!$A$6:$N$44,14,)</f>
        <v>76</v>
      </c>
      <c r="V6" s="8">
        <f>VLOOKUP(A6:A41,[1]TDSheet!$A$6:$R$43,18)</f>
        <v>1</v>
      </c>
      <c r="W6" s="9">
        <f>VLOOKUP(A6:A41,[2]TDSheet!$A$6:$R$44,18,)</f>
        <v>3</v>
      </c>
      <c r="X6" s="7">
        <f t="shared" si="5"/>
        <v>3</v>
      </c>
      <c r="Y6" s="10">
        <f>VLOOKUP(A6:A41,[2]TDSheet!$A$6:$Q$44,17,)</f>
        <v>20</v>
      </c>
      <c r="Z6" s="8">
        <f>VLOOKUP(A6:A41,[1]TDSheet!$A$6:$U$44,21,)</f>
        <v>7</v>
      </c>
      <c r="AA6" s="9">
        <f>VLOOKUP(A6:A41,[2]TDSheet!$A$6:$U$44,21,)</f>
        <v>3</v>
      </c>
      <c r="AB6" s="7">
        <f t="shared" si="6"/>
        <v>0.42857142857142855</v>
      </c>
      <c r="AC6" s="10">
        <f>VLOOKUP(A6:A41,[2]TDSheet!$A$6:$T$44,20,)</f>
        <v>0</v>
      </c>
      <c r="AD6" s="8">
        <f>VLOOKUP(A6:A41,[1]TDSheet!$A$6:$X$43,24,)</f>
        <v>9</v>
      </c>
      <c r="AE6" s="9">
        <f>VLOOKUP(A6:A41,[2]TDSheet!$A$6:$X$44,24,)</f>
        <v>57</v>
      </c>
      <c r="AF6" s="7">
        <f t="shared" si="7"/>
        <v>6.333333333333333</v>
      </c>
      <c r="AG6" s="10">
        <f>VLOOKUP(A6:A41,[2]TDSheet!$A$6:$W$44,23,)</f>
        <v>8</v>
      </c>
      <c r="AH6" s="8">
        <f>VLOOKUP(A6:A41,[1]TDSheet!$A$6:$AA$43,27,)</f>
        <v>0</v>
      </c>
      <c r="AI6" s="9">
        <f>VLOOKUP(A6:A41,[2]TDSheet!$A$6:$AA$44,27,)</f>
        <v>1.966</v>
      </c>
      <c r="AJ6" s="7" t="e">
        <f t="shared" si="8"/>
        <v>#DIV/0!</v>
      </c>
      <c r="AK6" s="10">
        <f>VLOOKUP(A6:A41,[2]TDSheet!$A$6:$Z$44,26,)</f>
        <v>1.92</v>
      </c>
      <c r="AL6" s="8">
        <f>VLOOKUP(A6:A41,[1]TDSheet!$A$6:$AD$43,30,)</f>
        <v>3</v>
      </c>
      <c r="AM6" s="9">
        <f>VLOOKUP(A6:A41,[2]TDSheet!$A$6:$AD$44,30,)</f>
        <v>5</v>
      </c>
      <c r="AN6" s="7">
        <f t="shared" si="9"/>
        <v>1.6666666666666667</v>
      </c>
      <c r="AO6" s="10">
        <f>VLOOKUP(A6:A41,[2]TDSheet!$A$6:$AC$44,29,)</f>
        <v>19</v>
      </c>
      <c r="AP6" s="8">
        <f>VLOOKUP(A6:A41,[1]TDSheet!$A$6:$AG$43,33,)</f>
        <v>5</v>
      </c>
      <c r="AQ6" s="9">
        <f>VLOOKUP(A6:A41,[2]TDSheet!$A$6:$AG$44,33,)</f>
        <v>41</v>
      </c>
      <c r="AR6" s="7">
        <f t="shared" si="10"/>
        <v>8.1999999999999993</v>
      </c>
      <c r="AS6" s="10">
        <f>VLOOKUP(A6:A41,[2]TDSheet!$A$6:$AF$44,32,)</f>
        <v>8</v>
      </c>
      <c r="AT6" s="8">
        <f>VLOOKUP(A6:A41,[1]TDSheet!$A$6:$AJ$43,36,)</f>
        <v>1.452</v>
      </c>
      <c r="AU6" s="9">
        <f>VLOOKUP(A6:A41,[2]TDSheet!$A$6:$AJ$44,36,)</f>
        <v>8.1059999999999999</v>
      </c>
      <c r="AV6" s="7">
        <f t="shared" si="11"/>
        <v>5.5826446280991737</v>
      </c>
      <c r="AW6" s="10">
        <f>VLOOKUP(A6:A41,[2]TDSheet!$A$6:$AI$44,35)</f>
        <v>2E-3</v>
      </c>
      <c r="AX6" s="8">
        <f>VLOOKUP(A6:A41,[1]TDSheet!$A$6:$AM$43,39,)</f>
        <v>7.0000000000000007E-2</v>
      </c>
      <c r="AY6" s="29">
        <f>VLOOKUP(A6:A41,[2]TDSheet!$A$6:$AM$44,39,)</f>
        <v>1.976</v>
      </c>
      <c r="AZ6" s="7">
        <f t="shared" si="12"/>
        <v>28.228571428571424</v>
      </c>
      <c r="BA6" s="30">
        <f>VLOOKUP(A6:A41,[2]TDSheet!$A$6:$AL$44,38,)</f>
        <v>9.8460000000000001</v>
      </c>
    </row>
    <row r="7" spans="1:53" ht="10.9" customHeight="1" x14ac:dyDescent="0.2">
      <c r="A7" s="2" t="s">
        <v>5</v>
      </c>
      <c r="B7" s="8">
        <f>VLOOKUP(A7:A42,[1]TDSheet!$A$6:$C$43,3,)</f>
        <v>0.60799999999999998</v>
      </c>
      <c r="C7" s="9">
        <f>VLOOKUP(A7:A42,[2]TDSheet!$A$6:$C$44,3,)</f>
        <v>2.0099999999999998</v>
      </c>
      <c r="D7" s="7">
        <f t="shared" si="0"/>
        <v>3.3059210526315788</v>
      </c>
      <c r="E7" s="10">
        <f>VLOOKUP(A7:A42,[2]TDSheet!$A$6:$B$44,2,)</f>
        <v>1.8959999999999999</v>
      </c>
      <c r="F7" s="8">
        <f>VLOOKUP(A7:A42,[1]TDSheet!$A$6:$F$43,6,)</f>
        <v>0.36</v>
      </c>
      <c r="G7" s="9">
        <f>VLOOKUP(A7:A42,[2]TDSheet!$A$6:$F$44,6,)</f>
        <v>3.1920000000000002</v>
      </c>
      <c r="H7" s="7">
        <f t="shared" si="1"/>
        <v>8.8666666666666671</v>
      </c>
      <c r="I7" s="28">
        <f>VLOOKUP(A7:A42,[2]TDSheet!$A$6:$E$44,5,)</f>
        <v>1.0960000000000001</v>
      </c>
      <c r="J7" s="8">
        <f>VLOOKUP(A7:A42,[1]TDSheet!$A$6:$I$43,9,)</f>
        <v>0</v>
      </c>
      <c r="K7" s="9">
        <f>VLOOKUP(A7:A42,[2]TDSheet!$A$6:$I$44,9,)</f>
        <v>5</v>
      </c>
      <c r="L7" s="7" t="e">
        <f t="shared" si="2"/>
        <v>#DIV/0!</v>
      </c>
      <c r="M7" s="10">
        <f>VLOOKUP(A7:A42,[2]TDSheet!$A$6:$H$44,8,)</f>
        <v>9</v>
      </c>
      <c r="N7" s="8">
        <f>VLOOKUP(A7:A42,[1]TDSheet!$A$6:$L$43,12,)</f>
        <v>2</v>
      </c>
      <c r="O7" s="9">
        <f>VLOOKUP(A7:A42,[2]TDSheet!$A$6:$L$44,12,)</f>
        <v>27</v>
      </c>
      <c r="P7" s="7">
        <f t="shared" si="3"/>
        <v>13.5</v>
      </c>
      <c r="Q7" s="10">
        <f>VLOOKUP(A7:A42,[2]TDSheet!$A$6:$K$44,11,)</f>
        <v>8</v>
      </c>
      <c r="R7" s="8">
        <f>VLOOKUP(A7:A42,[1]TDSheet!$A$6:$O$43,15,)</f>
        <v>0</v>
      </c>
      <c r="S7" s="9">
        <f>VLOOKUP(A7:A42,[2]TDSheet!$A$6:$O$44,15,)</f>
        <v>6</v>
      </c>
      <c r="T7" s="7" t="e">
        <f t="shared" si="4"/>
        <v>#DIV/0!</v>
      </c>
      <c r="U7" s="10">
        <f>VLOOKUP(A7:A42,[2]TDSheet!$A$6:$N$44,14,)</f>
        <v>21</v>
      </c>
      <c r="V7" s="8">
        <f>VLOOKUP(A7:A42,[1]TDSheet!$A$6:$R$43,18)</f>
        <v>0</v>
      </c>
      <c r="W7" s="9">
        <f>VLOOKUP(A7:A42,[2]TDSheet!$A$6:$R$44,18,)</f>
        <v>13</v>
      </c>
      <c r="X7" s="7" t="e">
        <f t="shared" si="5"/>
        <v>#DIV/0!</v>
      </c>
      <c r="Y7" s="10">
        <f>VLOOKUP(A7:A42,[2]TDSheet!$A$6:$Q$44,17,)</f>
        <v>6</v>
      </c>
      <c r="Z7" s="8">
        <f>VLOOKUP(A7:A42,[1]TDSheet!$A$6:$U$44,21,)</f>
        <v>1</v>
      </c>
      <c r="AA7" s="9">
        <f>VLOOKUP(A7:A42,[2]TDSheet!$A$6:$U$44,21,)</f>
        <v>8</v>
      </c>
      <c r="AB7" s="7">
        <f t="shared" si="6"/>
        <v>8</v>
      </c>
      <c r="AC7" s="10">
        <f>VLOOKUP(A7:A42,[2]TDSheet!$A$6:$T$44,20,)</f>
        <v>19</v>
      </c>
      <c r="AD7" s="8">
        <f>VLOOKUP(A7:A42,[1]TDSheet!$A$6:$X$43,24,)</f>
        <v>6</v>
      </c>
      <c r="AE7" s="9">
        <f>VLOOKUP(A7:A42,[2]TDSheet!$A$6:$X$44,24,)</f>
        <v>15</v>
      </c>
      <c r="AF7" s="7">
        <f t="shared" si="7"/>
        <v>2.5</v>
      </c>
      <c r="AG7" s="10">
        <f>VLOOKUP(A7:A42,[2]TDSheet!$A$6:$W$44,23,)</f>
        <v>13</v>
      </c>
      <c r="AH7" s="8">
        <f>VLOOKUP(A7:A42,[1]TDSheet!$A$6:$AA$43,27,)</f>
        <v>0</v>
      </c>
      <c r="AI7" s="9">
        <f>VLOOKUP(A7:A42,[2]TDSheet!$A$6:$AA$44,27,)</f>
        <v>2.7679999999999998</v>
      </c>
      <c r="AJ7" s="7" t="e">
        <f t="shared" si="8"/>
        <v>#DIV/0!</v>
      </c>
      <c r="AK7" s="10">
        <f>VLOOKUP(A7:A42,[2]TDSheet!$A$6:$Z$44,26,)</f>
        <v>2.0059999999999998</v>
      </c>
      <c r="AL7" s="8">
        <f>VLOOKUP(A7:A42,[1]TDSheet!$A$6:$AD$43,30,)</f>
        <v>1</v>
      </c>
      <c r="AM7" s="9">
        <f>VLOOKUP(A7:A42,[2]TDSheet!$A$6:$AD$44,30,)</f>
        <v>15</v>
      </c>
      <c r="AN7" s="7">
        <f t="shared" si="9"/>
        <v>15</v>
      </c>
      <c r="AO7" s="10">
        <f>VLOOKUP(A7:A42,[2]TDSheet!$A$6:$AC$44,29,)</f>
        <v>20</v>
      </c>
      <c r="AP7" s="8">
        <f>VLOOKUP(A7:A42,[1]TDSheet!$A$6:$AG$43,33,)</f>
        <v>2</v>
      </c>
      <c r="AQ7" s="9">
        <f>VLOOKUP(A7:A42,[2]TDSheet!$A$6:$AG$44,33,)</f>
        <v>24</v>
      </c>
      <c r="AR7" s="7">
        <f t="shared" si="10"/>
        <v>12</v>
      </c>
      <c r="AS7" s="10">
        <f>VLOOKUP(A7:A42,[2]TDSheet!$A$6:$AF$44,32,)</f>
        <v>10</v>
      </c>
      <c r="AT7" s="8">
        <f>VLOOKUP(A7:A42,[1]TDSheet!$A$6:$AJ$43,36,)</f>
        <v>2.1960000000000002</v>
      </c>
      <c r="AU7" s="9">
        <f>VLOOKUP(A7:A42,[2]TDSheet!$A$6:$AJ$44,36,)</f>
        <v>10.15</v>
      </c>
      <c r="AV7" s="7">
        <f t="shared" si="11"/>
        <v>4.6220400728597451</v>
      </c>
      <c r="AW7" s="10">
        <f>VLOOKUP(A7:A42,[2]TDSheet!$A$6:$AI$44,35)</f>
        <v>0</v>
      </c>
      <c r="AX7" s="8">
        <f>VLOOKUP(A7:A42,[1]TDSheet!$A$6:$AM$43,39,)</f>
        <v>0</v>
      </c>
      <c r="AY7" s="29">
        <f>VLOOKUP(A7:A42,[2]TDSheet!$A$6:$AM$44,39,)</f>
        <v>7.8239999999999998</v>
      </c>
      <c r="AZ7" s="7" t="e">
        <f t="shared" si="12"/>
        <v>#DIV/0!</v>
      </c>
      <c r="BA7" s="30">
        <f>VLOOKUP(A7:A42,[2]TDSheet!$A$6:$AL$44,38,)</f>
        <v>8.8420000000000005</v>
      </c>
    </row>
    <row r="8" spans="1:53" ht="10.9" customHeight="1" x14ac:dyDescent="0.2">
      <c r="A8" s="2" t="s">
        <v>6</v>
      </c>
      <c r="B8" s="8">
        <f>VLOOKUP(A8:A43,[1]TDSheet!$A$6:$C$43,3,)</f>
        <v>3.21</v>
      </c>
      <c r="C8" s="9">
        <f>VLOOKUP(A8:A43,[2]TDSheet!$A$6:$C$44,3,)</f>
        <v>3.1760000000000002</v>
      </c>
      <c r="D8" s="7">
        <f t="shared" si="0"/>
        <v>0.98940809968847354</v>
      </c>
      <c r="E8" s="10">
        <f>VLOOKUP(A8:A43,[2]TDSheet!$A$6:$B$44,2,)</f>
        <v>2.3039999999999998</v>
      </c>
      <c r="F8" s="8">
        <f>VLOOKUP(A8:A43,[1]TDSheet!$A$6:$F$43,6,)</f>
        <v>0</v>
      </c>
      <c r="G8" s="9">
        <f>VLOOKUP(A8:A43,[2]TDSheet!$A$6:$F$44,6,)</f>
        <v>4.2880000000000003</v>
      </c>
      <c r="H8" s="7" t="e">
        <f t="shared" si="1"/>
        <v>#DIV/0!</v>
      </c>
      <c r="I8" s="28">
        <f>VLOOKUP(A8:A43,[2]TDSheet!$A$6:$E$44,5,)</f>
        <v>0</v>
      </c>
      <c r="J8" s="8">
        <f>VLOOKUP(A8:A43,[1]TDSheet!$A$6:$I$43,9,)</f>
        <v>3</v>
      </c>
      <c r="K8" s="9">
        <f>VLOOKUP(A8:A43,[2]TDSheet!$A$6:$I$44,9,)</f>
        <v>49</v>
      </c>
      <c r="L8" s="7">
        <f t="shared" si="2"/>
        <v>16.333333333333332</v>
      </c>
      <c r="M8" s="10">
        <f>VLOOKUP(A8:A43,[2]TDSheet!$A$6:$H$44,8,)</f>
        <v>20</v>
      </c>
      <c r="N8" s="8">
        <f>VLOOKUP(A8:A43,[1]TDSheet!$A$6:$L$43,12,)</f>
        <v>7</v>
      </c>
      <c r="O8" s="9">
        <f>VLOOKUP(A8:A43,[2]TDSheet!$A$6:$L$44,12,)</f>
        <v>162</v>
      </c>
      <c r="P8" s="7">
        <f t="shared" si="3"/>
        <v>23.142857142857142</v>
      </c>
      <c r="Q8" s="10">
        <f>VLOOKUP(A8:A43,[2]TDSheet!$A$6:$K$44,11,)</f>
        <v>25</v>
      </c>
      <c r="R8" s="8">
        <f>VLOOKUP(A8:A43,[1]TDSheet!$A$6:$O$43,15,)</f>
        <v>5</v>
      </c>
      <c r="S8" s="9">
        <f>VLOOKUP(A8:A43,[2]TDSheet!$A$6:$O$44,15,)</f>
        <v>51</v>
      </c>
      <c r="T8" s="7">
        <f t="shared" si="4"/>
        <v>10.199999999999999</v>
      </c>
      <c r="U8" s="10">
        <f>VLOOKUP(A8:A43,[2]TDSheet!$A$6:$N$44,14,)</f>
        <v>104</v>
      </c>
      <c r="V8" s="8">
        <f>VLOOKUP(A8:A43,[1]TDSheet!$A$6:$R$43,18)</f>
        <v>7</v>
      </c>
      <c r="W8" s="9">
        <f>VLOOKUP(A8:A43,[2]TDSheet!$A$6:$R$44,18,)</f>
        <v>41</v>
      </c>
      <c r="X8" s="7">
        <f t="shared" si="5"/>
        <v>5.8571428571428568</v>
      </c>
      <c r="Y8" s="10">
        <f>VLOOKUP(A8:A43,[2]TDSheet!$A$6:$Q$44,17,)</f>
        <v>7</v>
      </c>
      <c r="Z8" s="8">
        <f>VLOOKUP(A8:A43,[1]TDSheet!$A$6:$U$44,21,)</f>
        <v>0</v>
      </c>
      <c r="AA8" s="9">
        <f>VLOOKUP(A8:A43,[2]TDSheet!$A$6:$U$44,21,)</f>
        <v>48</v>
      </c>
      <c r="AB8" s="7" t="e">
        <f t="shared" si="6"/>
        <v>#DIV/0!</v>
      </c>
      <c r="AC8" s="10">
        <f>VLOOKUP(A8:A43,[2]TDSheet!$A$6:$T$44,20,)</f>
        <v>0</v>
      </c>
      <c r="AD8" s="8">
        <f>VLOOKUP(A8:A43,[1]TDSheet!$A$6:$X$43,24,)</f>
        <v>23</v>
      </c>
      <c r="AE8" s="9">
        <f>VLOOKUP(A8:A43,[2]TDSheet!$A$6:$X$44,24,)</f>
        <v>76</v>
      </c>
      <c r="AF8" s="7">
        <f t="shared" si="7"/>
        <v>3.3043478260869565</v>
      </c>
      <c r="AG8" s="10">
        <f>VLOOKUP(A8:A43,[2]TDSheet!$A$6:$W$44,23,)</f>
        <v>10</v>
      </c>
      <c r="AH8" s="8">
        <f>VLOOKUP(A8:A43,[1]TDSheet!$A$6:$AA$43,27,)</f>
        <v>0</v>
      </c>
      <c r="AI8" s="9">
        <f>VLOOKUP(A8:A43,[2]TDSheet!$A$6:$AA$44,27,)</f>
        <v>4.4480000000000004</v>
      </c>
      <c r="AJ8" s="7" t="e">
        <f t="shared" si="8"/>
        <v>#DIV/0!</v>
      </c>
      <c r="AK8" s="10">
        <f>VLOOKUP(A8:A43,[2]TDSheet!$A$6:$Z$44,26,)</f>
        <v>0.44400000000000001</v>
      </c>
      <c r="AL8" s="8">
        <f>VLOOKUP(A8:A43,[1]TDSheet!$A$6:$AD$43,30,)</f>
        <v>12</v>
      </c>
      <c r="AM8" s="9">
        <f>VLOOKUP(A8:A43,[2]TDSheet!$A$6:$AD$44,30,)</f>
        <v>39</v>
      </c>
      <c r="AN8" s="7">
        <f t="shared" si="9"/>
        <v>3.25</v>
      </c>
      <c r="AO8" s="10">
        <f>VLOOKUP(A8:A43,[2]TDSheet!$A$6:$AC$44,29,)</f>
        <v>12</v>
      </c>
      <c r="AP8" s="8">
        <f>VLOOKUP(A8:A43,[1]TDSheet!$A$6:$AG$43,33,)</f>
        <v>0</v>
      </c>
      <c r="AQ8" s="9">
        <f>VLOOKUP(A8:A43,[2]TDSheet!$A$6:$AG$44,33,)</f>
        <v>33</v>
      </c>
      <c r="AR8" s="7" t="e">
        <f t="shared" si="10"/>
        <v>#DIV/0!</v>
      </c>
      <c r="AS8" s="10">
        <f>VLOOKUP(A8:A43,[2]TDSheet!$A$6:$AF$44,32,)</f>
        <v>22</v>
      </c>
      <c r="AT8" s="8">
        <f>VLOOKUP(A8:A43,[1]TDSheet!$A$6:$AJ$43,36,)</f>
        <v>3.1379999999999999</v>
      </c>
      <c r="AU8" s="9">
        <f>VLOOKUP(A8:A43,[2]TDSheet!$A$6:$AJ$44,36,)</f>
        <v>13.098000000000001</v>
      </c>
      <c r="AV8" s="7">
        <f t="shared" si="11"/>
        <v>4.173996175908222</v>
      </c>
      <c r="AW8" s="10">
        <f>VLOOKUP(A8:A43,[2]TDSheet!$A$6:$AI$44,35)</f>
        <v>1.212</v>
      </c>
      <c r="AX8" s="8">
        <f>VLOOKUP(A8:A43,[1]TDSheet!$A$6:$AM$43,39,)</f>
        <v>0.81399999999999995</v>
      </c>
      <c r="AY8" s="29">
        <f>VLOOKUP(A8:A43,[2]TDSheet!$A$6:$AM$44,39,)</f>
        <v>16.422000000000001</v>
      </c>
      <c r="AZ8" s="7">
        <f t="shared" si="12"/>
        <v>20.174447174447177</v>
      </c>
      <c r="BA8" s="30">
        <f>VLOOKUP(A8:A43,[2]TDSheet!$A$6:$AL$44,38,)</f>
        <v>16.898</v>
      </c>
    </row>
    <row r="9" spans="1:53" ht="10.9" customHeight="1" x14ac:dyDescent="0.2">
      <c r="A9" s="2" t="s">
        <v>7</v>
      </c>
      <c r="B9" s="8">
        <f>VLOOKUP(A9:A44,[1]TDSheet!$A$6:$C$43,3,)</f>
        <v>1.474</v>
      </c>
      <c r="C9" s="9">
        <f>VLOOKUP(A9:A44,[2]TDSheet!$A$6:$C$44,3,)</f>
        <v>1.1060000000000001</v>
      </c>
      <c r="D9" s="7">
        <f t="shared" si="0"/>
        <v>0.75033921302578022</v>
      </c>
      <c r="E9" s="10">
        <f>VLOOKUP(A9:A44,[2]TDSheet!$A$6:$B$44,2,)</f>
        <v>1.1439999999999999</v>
      </c>
      <c r="F9" s="8">
        <f>VLOOKUP(A9:A44,[1]TDSheet!$A$6:$F$43,6,)</f>
        <v>0</v>
      </c>
      <c r="G9" s="9">
        <f>VLOOKUP(A9:A44,[2]TDSheet!$A$6:$F$44,6,)</f>
        <v>1.42</v>
      </c>
      <c r="H9" s="7" t="e">
        <f t="shared" si="1"/>
        <v>#DIV/0!</v>
      </c>
      <c r="I9" s="28">
        <f>VLOOKUP(A9:A44,[2]TDSheet!$A$6:$E$44,5,)</f>
        <v>0.72799999999999998</v>
      </c>
      <c r="J9" s="8">
        <f>VLOOKUP(A9:A44,[1]TDSheet!$A$6:$I$43,9,)</f>
        <v>4</v>
      </c>
      <c r="K9" s="9">
        <f>VLOOKUP(A9:A44,[2]TDSheet!$A$6:$I$44,9,)</f>
        <v>3</v>
      </c>
      <c r="L9" s="7">
        <f t="shared" si="2"/>
        <v>0.75</v>
      </c>
      <c r="M9" s="10">
        <f>VLOOKUP(A9:A44,[2]TDSheet!$A$6:$H$44,8,)</f>
        <v>0</v>
      </c>
      <c r="N9" s="8">
        <f>VLOOKUP(A9:A44,[1]TDSheet!$A$6:$L$43,12,)</f>
        <v>0</v>
      </c>
      <c r="O9" s="9">
        <f>VLOOKUP(A9:A44,[2]TDSheet!$A$6:$L$44,12,)</f>
        <v>29</v>
      </c>
      <c r="P9" s="7" t="e">
        <f t="shared" si="3"/>
        <v>#DIV/0!</v>
      </c>
      <c r="Q9" s="10">
        <f>VLOOKUP(A9:A44,[2]TDSheet!$A$6:$K$44,11,)</f>
        <v>0</v>
      </c>
      <c r="R9" s="8">
        <f>VLOOKUP(A9:A44,[1]TDSheet!$A$6:$O$43,15,)</f>
        <v>2</v>
      </c>
      <c r="S9" s="9">
        <f>VLOOKUP(A9:A44,[2]TDSheet!$A$6:$O$44,15,)</f>
        <v>12</v>
      </c>
      <c r="T9" s="7">
        <f t="shared" si="4"/>
        <v>6</v>
      </c>
      <c r="U9" s="10">
        <f>VLOOKUP(A9:A44,[2]TDSheet!$A$6:$N$44,14,)</f>
        <v>46</v>
      </c>
      <c r="V9" s="8">
        <f>VLOOKUP(A9:A44,[1]TDSheet!$A$6:$R$43,18)</f>
        <v>0</v>
      </c>
      <c r="W9" s="9">
        <f>VLOOKUP(A9:A44,[2]TDSheet!$A$6:$R$44,18,)</f>
        <v>13</v>
      </c>
      <c r="X9" s="7" t="e">
        <f t="shared" si="5"/>
        <v>#DIV/0!</v>
      </c>
      <c r="Y9" s="10">
        <f>VLOOKUP(A9:A44,[2]TDSheet!$A$6:$Q$44,17,)</f>
        <v>8</v>
      </c>
      <c r="Z9" s="8">
        <f>VLOOKUP(A9:A44,[1]TDSheet!$A$6:$U$44,21,)</f>
        <v>9</v>
      </c>
      <c r="AA9" s="9">
        <f>VLOOKUP(A9:A44,[2]TDSheet!$A$6:$U$44,21,)</f>
        <v>1</v>
      </c>
      <c r="AB9" s="7">
        <f t="shared" si="6"/>
        <v>0.1111111111111111</v>
      </c>
      <c r="AC9" s="10">
        <f>VLOOKUP(A9:A44,[2]TDSheet!$A$6:$T$44,20,)</f>
        <v>25</v>
      </c>
      <c r="AD9" s="8">
        <f>VLOOKUP(A9:A44,[1]TDSheet!$A$6:$X$43,24,)</f>
        <v>6</v>
      </c>
      <c r="AE9" s="9">
        <f>VLOOKUP(A9:A44,[2]TDSheet!$A$6:$X$44,24,)</f>
        <v>20</v>
      </c>
      <c r="AF9" s="7">
        <f t="shared" si="7"/>
        <v>3.3333333333333335</v>
      </c>
      <c r="AG9" s="10">
        <f>VLOOKUP(A9:A44,[2]TDSheet!$A$6:$W$44,23,)</f>
        <v>0</v>
      </c>
      <c r="AH9" s="8">
        <f>VLOOKUP(A9:A44,[1]TDSheet!$A$6:$AA$43,27,)</f>
        <v>0</v>
      </c>
      <c r="AI9" s="9">
        <f>VLOOKUP(A9:A44,[2]TDSheet!$A$6:$AA$44,27,)</f>
        <v>2.3980000000000001</v>
      </c>
      <c r="AJ9" s="7" t="e">
        <f t="shared" si="8"/>
        <v>#DIV/0!</v>
      </c>
      <c r="AK9" s="10">
        <f>VLOOKUP(A9:A44,[2]TDSheet!$A$6:$Z$44,26,)</f>
        <v>1.0980000000000001</v>
      </c>
      <c r="AL9" s="8">
        <f>VLOOKUP(A9:A44,[1]TDSheet!$A$6:$AD$43,30,)</f>
        <v>3</v>
      </c>
      <c r="AM9" s="9">
        <f>VLOOKUP(A9:A44,[2]TDSheet!$A$6:$AD$44,30,)</f>
        <v>17</v>
      </c>
      <c r="AN9" s="7">
        <f t="shared" si="9"/>
        <v>5.666666666666667</v>
      </c>
      <c r="AO9" s="10">
        <f>VLOOKUP(A9:A44,[2]TDSheet!$A$6:$AC$44,29,)</f>
        <v>23</v>
      </c>
      <c r="AP9" s="8">
        <f>VLOOKUP(A9:A44,[1]TDSheet!$A$6:$AG$43,33,)</f>
        <v>6</v>
      </c>
      <c r="AQ9" s="9">
        <f>VLOOKUP(A9:A44,[2]TDSheet!$A$6:$AG$44,33,)</f>
        <v>24</v>
      </c>
      <c r="AR9" s="7">
        <f t="shared" si="10"/>
        <v>4</v>
      </c>
      <c r="AS9" s="10">
        <f>VLOOKUP(A9:A44,[2]TDSheet!$A$6:$AF$44,32,)</f>
        <v>17</v>
      </c>
      <c r="AT9" s="8">
        <f>VLOOKUP(A9:A44,[1]TDSheet!$A$6:$AJ$43,36,)</f>
        <v>1.5780000000000001</v>
      </c>
      <c r="AU9" s="9">
        <f>VLOOKUP(A9:A44,[2]TDSheet!$A$6:$AJ$44,36,)</f>
        <v>2.9780000000000002</v>
      </c>
      <c r="AV9" s="7">
        <f t="shared" si="11"/>
        <v>1.8871989860583016</v>
      </c>
      <c r="AW9" s="10">
        <f>VLOOKUP(A9:A44,[2]TDSheet!$A$6:$AI$44,35)</f>
        <v>0</v>
      </c>
      <c r="AX9" s="8">
        <f>VLOOKUP(A9:A44,[1]TDSheet!$A$6:$AM$43,39,)</f>
        <v>0</v>
      </c>
      <c r="AY9" s="29">
        <f>VLOOKUP(A9:A44,[2]TDSheet!$A$6:$AM$44,39,)</f>
        <v>2.7839999999999998</v>
      </c>
      <c r="AZ9" s="7" t="e">
        <f t="shared" si="12"/>
        <v>#DIV/0!</v>
      </c>
      <c r="BA9" s="30">
        <f>VLOOKUP(A9:A44,[2]TDSheet!$A$6:$AL$44,38,)</f>
        <v>8.0500000000000007</v>
      </c>
    </row>
    <row r="10" spans="1:53" ht="10.9" customHeight="1" x14ac:dyDescent="0.2">
      <c r="A10" s="2" t="s">
        <v>8</v>
      </c>
      <c r="B10" s="8">
        <f>VLOOKUP(A10:A45,[1]TDSheet!$A$6:$C$43,3,)</f>
        <v>1.48</v>
      </c>
      <c r="C10" s="9">
        <f>VLOOKUP(A10:A45,[2]TDSheet!$A$6:$C$44,3,)</f>
        <v>2.8639999999999999</v>
      </c>
      <c r="D10" s="7">
        <f t="shared" si="0"/>
        <v>1.9351351351351351</v>
      </c>
      <c r="E10" s="10">
        <f>VLOOKUP(A10:A45,[2]TDSheet!$A$6:$B$44,2,)</f>
        <v>1</v>
      </c>
      <c r="F10" s="8">
        <f>VLOOKUP(A10:A45,[1]TDSheet!$A$6:$F$43,6,)</f>
        <v>1.044</v>
      </c>
      <c r="G10" s="9">
        <f>VLOOKUP(A10:A45,[2]TDSheet!$A$6:$F$44,6,)</f>
        <v>1.0980000000000001</v>
      </c>
      <c r="H10" s="7">
        <f t="shared" si="1"/>
        <v>1.0517241379310345</v>
      </c>
      <c r="I10" s="28">
        <f>VLOOKUP(A10:A45,[2]TDSheet!$A$6:$E$44,5,)</f>
        <v>0.36799999999999999</v>
      </c>
      <c r="J10" s="8">
        <f>VLOOKUP(A10:A45,[1]TDSheet!$A$6:$I$43,9,)</f>
        <v>8</v>
      </c>
      <c r="K10" s="9">
        <f>VLOOKUP(A10:A45,[2]TDSheet!$A$6:$I$44,9,)</f>
        <v>11</v>
      </c>
      <c r="L10" s="7">
        <f t="shared" si="2"/>
        <v>1.375</v>
      </c>
      <c r="M10" s="10">
        <f>VLOOKUP(A10:A45,[2]TDSheet!$A$6:$H$44,8,)</f>
        <v>0</v>
      </c>
      <c r="N10" s="8">
        <f>VLOOKUP(A10:A45,[1]TDSheet!$A$6:$L$43,12,)</f>
        <v>1</v>
      </c>
      <c r="O10" s="9">
        <f>VLOOKUP(A10:A45,[2]TDSheet!$A$6:$L$44,12,)</f>
        <v>119</v>
      </c>
      <c r="P10" s="7">
        <f t="shared" si="3"/>
        <v>119</v>
      </c>
      <c r="Q10" s="10">
        <f>VLOOKUP(A10:A45,[2]TDSheet!$A$6:$K$44,11,)</f>
        <v>11</v>
      </c>
      <c r="R10" s="8">
        <f>VLOOKUP(A10:A45,[1]TDSheet!$A$6:$O$43,15,)</f>
        <v>2</v>
      </c>
      <c r="S10" s="9">
        <f>VLOOKUP(A10:A45,[2]TDSheet!$A$6:$O$44,15,)</f>
        <v>35</v>
      </c>
      <c r="T10" s="7">
        <f t="shared" si="4"/>
        <v>17.5</v>
      </c>
      <c r="U10" s="10">
        <f>VLOOKUP(A10:A45,[2]TDSheet!$A$6:$N$44,14,)</f>
        <v>164</v>
      </c>
      <c r="V10" s="8">
        <f>VLOOKUP(A10:A45,[1]TDSheet!$A$6:$R$43,18)</f>
        <v>0</v>
      </c>
      <c r="W10" s="9">
        <f>VLOOKUP(A10:A45,[2]TDSheet!$A$6:$R$44,18,)</f>
        <v>13</v>
      </c>
      <c r="X10" s="7" t="e">
        <f t="shared" si="5"/>
        <v>#DIV/0!</v>
      </c>
      <c r="Y10" s="10">
        <f>VLOOKUP(A10:A45,[2]TDSheet!$A$6:$Q$44,17,)</f>
        <v>13</v>
      </c>
      <c r="Z10" s="8">
        <f>VLOOKUP(A10:A45,[1]TDSheet!$A$6:$U$44,21,)</f>
        <v>0</v>
      </c>
      <c r="AA10" s="9">
        <f>VLOOKUP(A10:A45,[2]TDSheet!$A$6:$U$44,21,)</f>
        <v>22</v>
      </c>
      <c r="AB10" s="7" t="e">
        <f t="shared" si="6"/>
        <v>#DIV/0!</v>
      </c>
      <c r="AC10" s="10">
        <f>VLOOKUP(A10:A45,[2]TDSheet!$A$6:$T$44,20,)</f>
        <v>0</v>
      </c>
      <c r="AD10" s="8">
        <f>VLOOKUP(A10:A45,[1]TDSheet!$A$6:$X$43,24,)</f>
        <v>14</v>
      </c>
      <c r="AE10" s="9">
        <f>VLOOKUP(A10:A45,[2]TDSheet!$A$6:$X$44,24,)</f>
        <v>48</v>
      </c>
      <c r="AF10" s="7">
        <f t="shared" si="7"/>
        <v>3.4285714285714284</v>
      </c>
      <c r="AG10" s="10">
        <f>VLOOKUP(A10:A45,[2]TDSheet!$A$6:$W$44,23,)</f>
        <v>12</v>
      </c>
      <c r="AH10" s="8">
        <f>VLOOKUP(A10:A45,[1]TDSheet!$A$6:$AA$43,27,)</f>
        <v>0</v>
      </c>
      <c r="AI10" s="9">
        <f>VLOOKUP(A10:A45,[2]TDSheet!$A$6:$AA$44,27,)</f>
        <v>2.794</v>
      </c>
      <c r="AJ10" s="7" t="e">
        <f t="shared" si="8"/>
        <v>#DIV/0!</v>
      </c>
      <c r="AK10" s="10">
        <f>VLOOKUP(A10:A45,[2]TDSheet!$A$6:$Z$44,26,)</f>
        <v>0.41</v>
      </c>
      <c r="AL10" s="8">
        <f>VLOOKUP(A10:A45,[1]TDSheet!$A$6:$AD$43,30,)</f>
        <v>3</v>
      </c>
      <c r="AM10" s="9">
        <f>VLOOKUP(A10:A45,[2]TDSheet!$A$6:$AD$44,30,)</f>
        <v>9</v>
      </c>
      <c r="AN10" s="7">
        <f t="shared" si="9"/>
        <v>3</v>
      </c>
      <c r="AO10" s="10">
        <f>VLOOKUP(A10:A45,[2]TDSheet!$A$6:$AC$44,29,)</f>
        <v>29</v>
      </c>
      <c r="AP10" s="8">
        <f>VLOOKUP(A10:A45,[1]TDSheet!$A$6:$AG$43,33,)</f>
        <v>2</v>
      </c>
      <c r="AQ10" s="9">
        <f>VLOOKUP(A10:A45,[2]TDSheet!$A$6:$AG$44,33,)</f>
        <v>23</v>
      </c>
      <c r="AR10" s="7">
        <f t="shared" si="10"/>
        <v>11.5</v>
      </c>
      <c r="AS10" s="10">
        <f>VLOOKUP(A10:A45,[2]TDSheet!$A$6:$AF$44,32,)</f>
        <v>17</v>
      </c>
      <c r="AT10" s="8">
        <f>VLOOKUP(A10:A45,[1]TDSheet!$A$6:$AJ$43,36,)</f>
        <v>2.4780000000000002</v>
      </c>
      <c r="AU10" s="9">
        <f>VLOOKUP(A10:A45,[2]TDSheet!$A$6:$AJ$44,36,)</f>
        <v>13.35</v>
      </c>
      <c r="AV10" s="7">
        <f t="shared" si="11"/>
        <v>5.3874092009685226</v>
      </c>
      <c r="AW10" s="10">
        <f>VLOOKUP(A10:A45,[2]TDSheet!$A$6:$AI$44,35)</f>
        <v>-2E-3</v>
      </c>
      <c r="AX10" s="8">
        <f>VLOOKUP(A10:A45,[1]TDSheet!$A$6:$AM$43,39,)</f>
        <v>1.0920000000000001</v>
      </c>
      <c r="AY10" s="29">
        <f>VLOOKUP(A10:A45,[2]TDSheet!$A$6:$AM$44,39,)</f>
        <v>13.378</v>
      </c>
      <c r="AZ10" s="7">
        <f t="shared" si="12"/>
        <v>12.25091575091575</v>
      </c>
      <c r="BA10" s="30">
        <f>VLOOKUP(A10:A45,[2]TDSheet!$A$6:$AL$44,38,)</f>
        <v>23.178000000000001</v>
      </c>
    </row>
    <row r="11" spans="1:53" ht="10.9" customHeight="1" x14ac:dyDescent="0.2">
      <c r="A11" s="2" t="s">
        <v>9</v>
      </c>
      <c r="B11" s="8">
        <f>VLOOKUP(A11:A46,[1]TDSheet!$A$6:$C$43,3,)</f>
        <v>0.89600000000000002</v>
      </c>
      <c r="C11" s="9">
        <f>VLOOKUP(A11:A46,[2]TDSheet!$A$6:$C$44,3,)</f>
        <v>2.39</v>
      </c>
      <c r="D11" s="7">
        <f t="shared" si="0"/>
        <v>2.6674107142857144</v>
      </c>
      <c r="E11" s="10">
        <f>VLOOKUP(A11:A46,[2]TDSheet!$A$6:$B$44,2,)</f>
        <v>2.1800000000000002</v>
      </c>
      <c r="F11" s="8">
        <f>VLOOKUP(A11:A46,[1]TDSheet!$A$6:$F$43,6,)</f>
        <v>0</v>
      </c>
      <c r="G11" s="9">
        <f>VLOOKUP(A11:A46,[2]TDSheet!$A$6:$F$44,6,)</f>
        <v>1.472</v>
      </c>
      <c r="H11" s="7" t="e">
        <f t="shared" si="1"/>
        <v>#DIV/0!</v>
      </c>
      <c r="I11" s="28">
        <f>VLOOKUP(A11:A46,[2]TDSheet!$A$6:$E$44,5,)</f>
        <v>0</v>
      </c>
      <c r="J11" s="8">
        <f>VLOOKUP(A11:A46,[1]TDSheet!$A$6:$I$43,9,)</f>
        <v>1</v>
      </c>
      <c r="K11" s="9">
        <f>VLOOKUP(A11:A46,[2]TDSheet!$A$6:$I$44,9,)</f>
        <v>13</v>
      </c>
      <c r="L11" s="7">
        <f t="shared" si="2"/>
        <v>13</v>
      </c>
      <c r="M11" s="10">
        <f>VLOOKUP(A11:A46,[2]TDSheet!$A$6:$H$44,8,)</f>
        <v>13</v>
      </c>
      <c r="N11" s="8">
        <f>VLOOKUP(A11:A46,[1]TDSheet!$A$6:$L$43,12,)</f>
        <v>0</v>
      </c>
      <c r="O11" s="9">
        <f>VLOOKUP(A11:A46,[2]TDSheet!$A$6:$L$44,12,)</f>
        <v>47</v>
      </c>
      <c r="P11" s="7" t="e">
        <f t="shared" si="3"/>
        <v>#DIV/0!</v>
      </c>
      <c r="Q11" s="10">
        <f>VLOOKUP(A11:A46,[2]TDSheet!$A$6:$K$44,11,)</f>
        <v>0</v>
      </c>
      <c r="R11" s="8">
        <f>VLOOKUP(A11:A46,[1]TDSheet!$A$6:$O$43,15,)</f>
        <v>0</v>
      </c>
      <c r="S11" s="9">
        <f>VLOOKUP(A11:A46,[2]TDSheet!$A$6:$O$44,15,)</f>
        <v>14</v>
      </c>
      <c r="T11" s="7" t="e">
        <f t="shared" si="4"/>
        <v>#DIV/0!</v>
      </c>
      <c r="U11" s="10">
        <f>VLOOKUP(A11:A46,[2]TDSheet!$A$6:$N$44,14,)</f>
        <v>13</v>
      </c>
      <c r="V11" s="8">
        <f>VLOOKUP(A11:A46,[1]TDSheet!$A$6:$R$43,18)</f>
        <v>0</v>
      </c>
      <c r="W11" s="9">
        <f>VLOOKUP(A11:A46,[2]TDSheet!$A$6:$R$44,18,)</f>
        <v>17</v>
      </c>
      <c r="X11" s="7" t="e">
        <f t="shared" si="5"/>
        <v>#DIV/0!</v>
      </c>
      <c r="Y11" s="10">
        <f>VLOOKUP(A11:A46,[2]TDSheet!$A$6:$Q$44,17,)</f>
        <v>5</v>
      </c>
      <c r="Z11" s="8">
        <f>VLOOKUP(A11:A46,[1]TDSheet!$A$6:$U$44,21,)</f>
        <v>1</v>
      </c>
      <c r="AA11" s="9">
        <f>VLOOKUP(A11:A46,[2]TDSheet!$A$6:$U$44,21,)</f>
        <v>6</v>
      </c>
      <c r="AB11" s="7">
        <f t="shared" si="6"/>
        <v>6</v>
      </c>
      <c r="AC11" s="10">
        <f>VLOOKUP(A11:A46,[2]TDSheet!$A$6:$T$44,20,)</f>
        <v>4</v>
      </c>
      <c r="AD11" s="8">
        <f>VLOOKUP(A11:A46,[1]TDSheet!$A$6:$X$43,24,)</f>
        <v>5</v>
      </c>
      <c r="AE11" s="9">
        <f>VLOOKUP(A11:A46,[2]TDSheet!$A$6:$X$44,24,)</f>
        <v>50</v>
      </c>
      <c r="AF11" s="7">
        <f t="shared" si="7"/>
        <v>10</v>
      </c>
      <c r="AG11" s="10">
        <f>VLOOKUP(A11:A46,[2]TDSheet!$A$6:$W$44,23,)</f>
        <v>19</v>
      </c>
      <c r="AH11" s="8">
        <f>VLOOKUP(A11:A46,[1]TDSheet!$A$6:$AA$43,27,)</f>
        <v>0</v>
      </c>
      <c r="AI11" s="9">
        <f>VLOOKUP(A11:A46,[2]TDSheet!$A$6:$AA$44,27,)</f>
        <v>1.224</v>
      </c>
      <c r="AJ11" s="7" t="e">
        <f t="shared" si="8"/>
        <v>#DIV/0!</v>
      </c>
      <c r="AK11" s="10">
        <f>VLOOKUP(A11:A46,[2]TDSheet!$A$6:$Z$44,26,)</f>
        <v>1.9119999999999999</v>
      </c>
      <c r="AL11" s="8">
        <f>VLOOKUP(A11:A46,[1]TDSheet!$A$6:$AD$43,30,)</f>
        <v>0</v>
      </c>
      <c r="AM11" s="9">
        <f>VLOOKUP(A11:A46,[2]TDSheet!$A$6:$AD$44,30,)</f>
        <v>34</v>
      </c>
      <c r="AN11" s="7" t="e">
        <f t="shared" si="9"/>
        <v>#DIV/0!</v>
      </c>
      <c r="AO11" s="10">
        <f>VLOOKUP(A11:A46,[2]TDSheet!$A$6:$AC$44,29,)</f>
        <v>5</v>
      </c>
      <c r="AP11" s="8">
        <f>VLOOKUP(A11:A46,[1]TDSheet!$A$6:$AG$43,33,)</f>
        <v>0</v>
      </c>
      <c r="AQ11" s="9">
        <f>VLOOKUP(A11:A46,[2]TDSheet!$A$6:$AG$44,33,)</f>
        <v>25</v>
      </c>
      <c r="AR11" s="7" t="e">
        <f t="shared" si="10"/>
        <v>#DIV/0!</v>
      </c>
      <c r="AS11" s="10">
        <f>VLOOKUP(A11:A46,[2]TDSheet!$A$6:$AF$44,32,)</f>
        <v>6</v>
      </c>
      <c r="AT11" s="8">
        <f>VLOOKUP(A11:A46,[1]TDSheet!$A$6:$AJ$43,36,)</f>
        <v>3.1040000000000001</v>
      </c>
      <c r="AU11" s="9">
        <f>VLOOKUP(A11:A46,[2]TDSheet!$A$6:$AJ$44,36,)</f>
        <v>12.976000000000001</v>
      </c>
      <c r="AV11" s="7">
        <f t="shared" si="11"/>
        <v>4.1804123711340209</v>
      </c>
      <c r="AW11" s="10">
        <f>VLOOKUP(A11:A46,[2]TDSheet!$A$6:$AI$44,35)</f>
        <v>2.4E-2</v>
      </c>
      <c r="AX11" s="8">
        <f>VLOOKUP(A11:A46,[1]TDSheet!$A$6:$AM$43,39,)</f>
        <v>0.504</v>
      </c>
      <c r="AY11" s="29">
        <f>VLOOKUP(A11:A46,[2]TDSheet!$A$6:$AM$44,39,)</f>
        <v>15.178000000000001</v>
      </c>
      <c r="AZ11" s="7">
        <f t="shared" si="12"/>
        <v>30.115079365079367</v>
      </c>
      <c r="BA11" s="30">
        <f>VLOOKUP(A11:A46,[2]TDSheet!$A$6:$AL$44,38,)</f>
        <v>15.55</v>
      </c>
    </row>
    <row r="12" spans="1:53" ht="10.9" customHeight="1" x14ac:dyDescent="0.2">
      <c r="A12" s="2" t="s">
        <v>10</v>
      </c>
      <c r="B12" s="8">
        <f>VLOOKUP(A12:A47,[1]TDSheet!$A$6:$C$43,3,)</f>
        <v>2.0760000000000001</v>
      </c>
      <c r="C12" s="9">
        <f>VLOOKUP(A12:A47,[2]TDSheet!$A$6:$C$44,3,)</f>
        <v>3.92</v>
      </c>
      <c r="D12" s="7">
        <f t="shared" si="0"/>
        <v>1.8882466281310211</v>
      </c>
      <c r="E12" s="10">
        <f>VLOOKUP(A12:A47,[2]TDSheet!$A$6:$B$44,2,)</f>
        <v>3.0619999999999998</v>
      </c>
      <c r="F12" s="8">
        <f>VLOOKUP(A12:A47,[1]TDSheet!$A$6:$F$43,6,)</f>
        <v>3.6080000000000001</v>
      </c>
      <c r="G12" s="9">
        <f>VLOOKUP(A12:A47,[2]TDSheet!$A$6:$F$44,6,)</f>
        <v>4.96</v>
      </c>
      <c r="H12" s="7">
        <f t="shared" si="1"/>
        <v>1.3747228381374723</v>
      </c>
      <c r="I12" s="28">
        <f>VLOOKUP(A12:A47,[2]TDSheet!$A$6:$E$44,5,)</f>
        <v>1.4359999999999999</v>
      </c>
      <c r="J12" s="8">
        <f>VLOOKUP(A12:A47,[1]TDSheet!$A$6:$I$43,9,)</f>
        <v>3</v>
      </c>
      <c r="K12" s="9">
        <f>VLOOKUP(A12:A47,[2]TDSheet!$A$6:$I$44,9,)</f>
        <v>18</v>
      </c>
      <c r="L12" s="7">
        <f t="shared" si="2"/>
        <v>6</v>
      </c>
      <c r="M12" s="10">
        <f>VLOOKUP(A12:A47,[2]TDSheet!$A$6:$H$44,8,)</f>
        <v>0</v>
      </c>
      <c r="N12" s="8">
        <f>VLOOKUP(A12:A47,[1]TDSheet!$A$6:$L$43,12,)</f>
        <v>0</v>
      </c>
      <c r="O12" s="9">
        <f>VLOOKUP(A12:A47,[2]TDSheet!$A$6:$L$44,12,)</f>
        <v>194</v>
      </c>
      <c r="P12" s="7" t="e">
        <f t="shared" si="3"/>
        <v>#DIV/0!</v>
      </c>
      <c r="Q12" s="10">
        <f>VLOOKUP(A12:A47,[2]TDSheet!$A$6:$K$44,11,)</f>
        <v>3</v>
      </c>
      <c r="R12" s="8">
        <f>VLOOKUP(A12:A47,[1]TDSheet!$A$6:$O$43,15,)</f>
        <v>1</v>
      </c>
      <c r="S12" s="9">
        <f>VLOOKUP(A12:A47,[2]TDSheet!$A$6:$O$44,15,)</f>
        <v>4</v>
      </c>
      <c r="T12" s="7">
        <f t="shared" si="4"/>
        <v>4</v>
      </c>
      <c r="U12" s="10">
        <f>VLOOKUP(A12:A47,[2]TDSheet!$A$6:$N$44,14,)</f>
        <v>50</v>
      </c>
      <c r="V12" s="8">
        <f>VLOOKUP(A12:A47,[1]TDSheet!$A$6:$R$43,18)</f>
        <v>1</v>
      </c>
      <c r="W12" s="9">
        <f>VLOOKUP(A12:A47,[2]TDSheet!$A$6:$R$44,18,)</f>
        <v>16</v>
      </c>
      <c r="X12" s="7">
        <f t="shared" si="5"/>
        <v>16</v>
      </c>
      <c r="Y12" s="10">
        <f>VLOOKUP(A12:A47,[2]TDSheet!$A$6:$Q$44,17,)</f>
        <v>4</v>
      </c>
      <c r="Z12" s="8">
        <f>VLOOKUP(A12:A47,[1]TDSheet!$A$6:$U$44,21,)</f>
        <v>1</v>
      </c>
      <c r="AA12" s="9">
        <f>VLOOKUP(A12:A47,[2]TDSheet!$A$6:$U$44,21,)</f>
        <v>4</v>
      </c>
      <c r="AB12" s="7">
        <f t="shared" si="6"/>
        <v>4</v>
      </c>
      <c r="AC12" s="10">
        <f>VLOOKUP(A12:A47,[2]TDSheet!$A$6:$T$44,20,)</f>
        <v>15</v>
      </c>
      <c r="AD12" s="8">
        <f>VLOOKUP(A12:A47,[1]TDSheet!$A$6:$X$43,24,)</f>
        <v>13</v>
      </c>
      <c r="AE12" s="9">
        <f>VLOOKUP(A12:A47,[2]TDSheet!$A$6:$X$44,24,)</f>
        <v>69</v>
      </c>
      <c r="AF12" s="7">
        <f t="shared" si="7"/>
        <v>5.3076923076923075</v>
      </c>
      <c r="AG12" s="10">
        <f>VLOOKUP(A12:A47,[2]TDSheet!$A$6:$W$44,23,)</f>
        <v>7</v>
      </c>
      <c r="AH12" s="8">
        <f>VLOOKUP(A12:A47,[1]TDSheet!$A$6:$AA$43,27,)</f>
        <v>0</v>
      </c>
      <c r="AI12" s="9">
        <f>VLOOKUP(A12:A47,[2]TDSheet!$A$6:$AA$44,27,)</f>
        <v>7.2</v>
      </c>
      <c r="AJ12" s="7" t="e">
        <f t="shared" si="8"/>
        <v>#DIV/0!</v>
      </c>
      <c r="AK12" s="10">
        <f>VLOOKUP(A12:A47,[2]TDSheet!$A$6:$Z$44,26,)</f>
        <v>-2.5999999999999999E-2</v>
      </c>
      <c r="AL12" s="8">
        <f>VLOOKUP(A12:A47,[1]TDSheet!$A$6:$AD$43,30,)</f>
        <v>1</v>
      </c>
      <c r="AM12" s="9">
        <f>VLOOKUP(A12:A47,[2]TDSheet!$A$6:$AD$44,30,)</f>
        <v>22</v>
      </c>
      <c r="AN12" s="7">
        <f t="shared" si="9"/>
        <v>22</v>
      </c>
      <c r="AO12" s="10">
        <f>VLOOKUP(A12:A47,[2]TDSheet!$A$6:$AC$44,29,)</f>
        <v>1</v>
      </c>
      <c r="AP12" s="8">
        <f>VLOOKUP(A12:A47,[1]TDSheet!$A$6:$AG$43,33,)</f>
        <v>5</v>
      </c>
      <c r="AQ12" s="9">
        <f>VLOOKUP(A12:A47,[2]TDSheet!$A$6:$AG$44,33,)</f>
        <v>42</v>
      </c>
      <c r="AR12" s="7">
        <f t="shared" si="10"/>
        <v>8.4</v>
      </c>
      <c r="AS12" s="10">
        <f>VLOOKUP(A12:A47,[2]TDSheet!$A$6:$AF$44,32,)</f>
        <v>7</v>
      </c>
      <c r="AT12" s="8">
        <f>VLOOKUP(A12:A47,[1]TDSheet!$A$6:$AJ$43,36,)</f>
        <v>1.732</v>
      </c>
      <c r="AU12" s="9">
        <f>VLOOKUP(A12:A47,[2]TDSheet!$A$6:$AJ$44,36,)</f>
        <v>8.8520000000000003</v>
      </c>
      <c r="AV12" s="7">
        <f t="shared" si="11"/>
        <v>5.1108545034642034</v>
      </c>
      <c r="AW12" s="10">
        <f>VLOOKUP(A12:A47,[2]TDSheet!$A$6:$AI$44,35)</f>
        <v>0</v>
      </c>
      <c r="AX12" s="8">
        <f>VLOOKUP(A12:A47,[1]TDSheet!$A$6:$AM$43,39,)</f>
        <v>0</v>
      </c>
      <c r="AY12" s="29">
        <f>VLOOKUP(A12:A47,[2]TDSheet!$A$6:$AM$44,39,)</f>
        <v>13.651999999999999</v>
      </c>
      <c r="AZ12" s="7" t="e">
        <f t="shared" si="12"/>
        <v>#DIV/0!</v>
      </c>
      <c r="BA12" s="30">
        <f>VLOOKUP(A12:A47,[2]TDSheet!$A$6:$AL$44,38,)</f>
        <v>3.2</v>
      </c>
    </row>
    <row r="13" spans="1:53" ht="10.9" customHeight="1" x14ac:dyDescent="0.2">
      <c r="A13" s="2" t="s">
        <v>11</v>
      </c>
      <c r="B13" s="8">
        <f>VLOOKUP(A13:A48,[1]TDSheet!$A$6:$C$43,3,)</f>
        <v>0</v>
      </c>
      <c r="C13" s="9">
        <f>VLOOKUP(A13:A48,[2]TDSheet!$A$6:$C$44,3,)</f>
        <v>3.698</v>
      </c>
      <c r="D13" s="7" t="e">
        <f t="shared" si="0"/>
        <v>#DIV/0!</v>
      </c>
      <c r="E13" s="10">
        <f>VLOOKUP(A13:A48,[2]TDSheet!$A$6:$B$44,2,)</f>
        <v>1.65</v>
      </c>
      <c r="F13" s="8">
        <f>VLOOKUP(A13:A48,[1]TDSheet!$A$6:$F$43,6,)</f>
        <v>1.454</v>
      </c>
      <c r="G13" s="9">
        <f>VLOOKUP(A13:A48,[2]TDSheet!$A$6:$F$44,6,)</f>
        <v>2.9079999999999999</v>
      </c>
      <c r="H13" s="7">
        <f t="shared" si="1"/>
        <v>2</v>
      </c>
      <c r="I13" s="28">
        <f>VLOOKUP(A13:A48,[2]TDSheet!$A$6:$E$44,5,)</f>
        <v>0</v>
      </c>
      <c r="J13" s="8">
        <f>VLOOKUP(A13:A48,[1]TDSheet!$A$6:$I$43,9,)</f>
        <v>0</v>
      </c>
      <c r="K13" s="9">
        <f>VLOOKUP(A13:A48,[2]TDSheet!$A$6:$I$44,9,)</f>
        <v>13</v>
      </c>
      <c r="L13" s="7" t="e">
        <f t="shared" si="2"/>
        <v>#DIV/0!</v>
      </c>
      <c r="M13" s="10">
        <f>VLOOKUP(A13:A48,[2]TDSheet!$A$6:$H$44,8,)</f>
        <v>0</v>
      </c>
      <c r="N13" s="8">
        <f>VLOOKUP(A13:A48,[1]TDSheet!$A$6:$L$43,12,)</f>
        <v>1</v>
      </c>
      <c r="O13" s="9">
        <f>VLOOKUP(A13:A48,[2]TDSheet!$A$6:$L$44,12,)</f>
        <v>50</v>
      </c>
      <c r="P13" s="7">
        <f t="shared" si="3"/>
        <v>50</v>
      </c>
      <c r="Q13" s="10">
        <f>VLOOKUP(A13:A48,[2]TDSheet!$A$6:$K$44,11,)</f>
        <v>43</v>
      </c>
      <c r="R13" s="8">
        <f>VLOOKUP(A13:A48,[1]TDSheet!$A$6:$O$43,15,)</f>
        <v>0</v>
      </c>
      <c r="S13" s="9">
        <f>VLOOKUP(A13:A48,[2]TDSheet!$A$6:$O$44,15,)</f>
        <v>7</v>
      </c>
      <c r="T13" s="7" t="e">
        <f t="shared" si="4"/>
        <v>#DIV/0!</v>
      </c>
      <c r="U13" s="10">
        <f>VLOOKUP(A13:A48,[2]TDSheet!$A$6:$N$44,14,)</f>
        <v>0</v>
      </c>
      <c r="V13" s="8">
        <f>VLOOKUP(A13:A48,[1]TDSheet!$A$6:$R$43,18)</f>
        <v>2</v>
      </c>
      <c r="W13" s="9">
        <f>VLOOKUP(A13:A48,[2]TDSheet!$A$6:$R$44,18,)</f>
        <v>20</v>
      </c>
      <c r="X13" s="7">
        <f t="shared" si="5"/>
        <v>10</v>
      </c>
      <c r="Y13" s="10">
        <f>VLOOKUP(A13:A48,[2]TDSheet!$A$6:$Q$44,17,)</f>
        <v>5</v>
      </c>
      <c r="Z13" s="8">
        <f>VLOOKUP(A13:A48,[1]TDSheet!$A$6:$U$44,21,)</f>
        <v>6</v>
      </c>
      <c r="AA13" s="9">
        <f>VLOOKUP(A13:A48,[2]TDSheet!$A$6:$U$44,21,)</f>
        <v>17</v>
      </c>
      <c r="AB13" s="7">
        <f t="shared" si="6"/>
        <v>2.8333333333333335</v>
      </c>
      <c r="AC13" s="10">
        <f>VLOOKUP(A13:A48,[2]TDSheet!$A$6:$T$44,20,)</f>
        <v>0</v>
      </c>
      <c r="AD13" s="8">
        <f>VLOOKUP(A13:A48,[1]TDSheet!$A$6:$X$43,24,)</f>
        <v>0</v>
      </c>
      <c r="AE13" s="9">
        <f>VLOOKUP(A13:A48,[2]TDSheet!$A$6:$X$44,24,)</f>
        <v>15</v>
      </c>
      <c r="AF13" s="7" t="e">
        <f t="shared" si="7"/>
        <v>#DIV/0!</v>
      </c>
      <c r="AG13" s="10">
        <f>VLOOKUP(A13:A48,[2]TDSheet!$A$6:$W$44,23,)</f>
        <v>3</v>
      </c>
      <c r="AH13" s="8">
        <f>VLOOKUP(A13:A48,[1]TDSheet!$A$6:$AA$43,27,)</f>
        <v>0</v>
      </c>
      <c r="AI13" s="9">
        <f>VLOOKUP(A13:A48,[2]TDSheet!$A$6:$AA$44,27,)</f>
        <v>2.8119999999999998</v>
      </c>
      <c r="AJ13" s="7" t="e">
        <f t="shared" si="8"/>
        <v>#DIV/0!</v>
      </c>
      <c r="AK13" s="10">
        <f>VLOOKUP(A13:A48,[2]TDSheet!$A$6:$Z$44,26,)</f>
        <v>1.214</v>
      </c>
      <c r="AL13" s="8">
        <f>VLOOKUP(A13:A48,[1]TDSheet!$A$6:$AD$43,30,)</f>
        <v>1</v>
      </c>
      <c r="AM13" s="9">
        <f>VLOOKUP(A13:A48,[2]TDSheet!$A$6:$AD$44,30,)</f>
        <v>22</v>
      </c>
      <c r="AN13" s="7">
        <f t="shared" si="9"/>
        <v>22</v>
      </c>
      <c r="AO13" s="10">
        <f>VLOOKUP(A13:A48,[2]TDSheet!$A$6:$AC$44,29,)</f>
        <v>11</v>
      </c>
      <c r="AP13" s="8">
        <f>VLOOKUP(A13:A48,[1]TDSheet!$A$6:$AG$43,33,)</f>
        <v>1</v>
      </c>
      <c r="AQ13" s="9">
        <f>VLOOKUP(A13:A48,[2]TDSheet!$A$6:$AG$44,33,)</f>
        <v>26</v>
      </c>
      <c r="AR13" s="7">
        <f t="shared" si="10"/>
        <v>26</v>
      </c>
      <c r="AS13" s="10">
        <f>VLOOKUP(A13:A48,[2]TDSheet!$A$6:$AF$44,32,)</f>
        <v>9</v>
      </c>
      <c r="AT13" s="8">
        <f>VLOOKUP(A13:A48,[1]TDSheet!$A$6:$AJ$43,36,)</f>
        <v>2.98</v>
      </c>
      <c r="AU13" s="9">
        <f>VLOOKUP(A13:A48,[2]TDSheet!$A$6:$AJ$44,36,)</f>
        <v>7.492</v>
      </c>
      <c r="AV13" s="7">
        <f t="shared" si="11"/>
        <v>2.5140939597315435</v>
      </c>
      <c r="AW13" s="10">
        <f>VLOOKUP(A13:A48,[2]TDSheet!$A$6:$AI$44,35)</f>
        <v>6.0000000000000001E-3</v>
      </c>
      <c r="AX13" s="8">
        <f>VLOOKUP(A13:A48,[1]TDSheet!$A$6:$AM$43,39,)</f>
        <v>3.5999999999999997E-2</v>
      </c>
      <c r="AY13" s="29">
        <f>VLOOKUP(A13:A48,[2]TDSheet!$A$6:$AM$44,39,)</f>
        <v>1.1579999999999999</v>
      </c>
      <c r="AZ13" s="7">
        <f t="shared" si="12"/>
        <v>32.166666666666664</v>
      </c>
      <c r="BA13" s="30">
        <f>VLOOKUP(A13:A48,[2]TDSheet!$A$6:$AL$44,38,)</f>
        <v>19.524000000000001</v>
      </c>
    </row>
    <row r="14" spans="1:53" ht="10.9" customHeight="1" x14ac:dyDescent="0.2">
      <c r="A14" s="2" t="s">
        <v>12</v>
      </c>
      <c r="B14" s="8">
        <f>VLOOKUP(A14:A49,[1]TDSheet!$A$6:$C$43,3,)</f>
        <v>2.9079999999999999</v>
      </c>
      <c r="C14" s="9">
        <f>VLOOKUP(A14:A49,[2]TDSheet!$A$6:$C$44,3,)</f>
        <v>13.054</v>
      </c>
      <c r="D14" s="7">
        <f t="shared" si="0"/>
        <v>4.488995873452545</v>
      </c>
      <c r="E14" s="10">
        <f>VLOOKUP(A14:A49,[2]TDSheet!$A$6:$B$44,2,)</f>
        <v>0.61899999999999999</v>
      </c>
      <c r="F14" s="8">
        <f>VLOOKUP(A14:A49,[1]TDSheet!$A$6:$F$43,6,)</f>
        <v>0</v>
      </c>
      <c r="G14" s="9">
        <f>VLOOKUP(A14:A49,[2]TDSheet!$A$6:$F$44,6,)</f>
        <v>31.754000000000001</v>
      </c>
      <c r="H14" s="7" t="e">
        <f t="shared" si="1"/>
        <v>#DIV/0!</v>
      </c>
      <c r="I14" s="28">
        <f>VLOOKUP(A14:A49,[2]TDSheet!$A$6:$E$44,5,)</f>
        <v>7.609</v>
      </c>
      <c r="J14" s="8">
        <f>VLOOKUP(A14:A49,[1]TDSheet!$A$6:$I$43,9,)</f>
        <v>8</v>
      </c>
      <c r="K14" s="9">
        <f>VLOOKUP(A14:A49,[2]TDSheet!$A$6:$I$44,9,)</f>
        <v>0</v>
      </c>
      <c r="L14" s="7">
        <f t="shared" si="2"/>
        <v>0</v>
      </c>
      <c r="M14" s="10">
        <f>VLOOKUP(A14:A49,[2]TDSheet!$A$6:$H$44,8,)</f>
        <v>-1</v>
      </c>
      <c r="N14" s="8">
        <f>VLOOKUP(A14:A49,[1]TDSheet!$A$6:$L$43,12,)</f>
        <v>3</v>
      </c>
      <c r="O14" s="9">
        <f>VLOOKUP(A14:A49,[2]TDSheet!$A$6:$L$44,12,)</f>
        <v>235</v>
      </c>
      <c r="P14" s="7">
        <f t="shared" si="3"/>
        <v>78.333333333333329</v>
      </c>
      <c r="Q14" s="10">
        <f>VLOOKUP(A14:A49,[2]TDSheet!$A$6:$K$44,11,)</f>
        <v>10</v>
      </c>
      <c r="R14" s="8">
        <f>VLOOKUP(A14:A49,[1]TDSheet!$A$6:$O$43,15,)</f>
        <v>1</v>
      </c>
      <c r="S14" s="9">
        <f>VLOOKUP(A14:A49,[2]TDSheet!$A$6:$O$44,15,)</f>
        <v>72</v>
      </c>
      <c r="T14" s="7">
        <f t="shared" si="4"/>
        <v>72</v>
      </c>
      <c r="U14" s="10">
        <f>VLOOKUP(A14:A49,[2]TDSheet!$A$6:$N$44,14,)</f>
        <v>85</v>
      </c>
      <c r="V14" s="8">
        <f>VLOOKUP(A14:A49,[1]TDSheet!$A$6:$R$43,18)</f>
        <v>1</v>
      </c>
      <c r="W14" s="9">
        <f>VLOOKUP(A14:A49,[2]TDSheet!$A$6:$R$44,18,)</f>
        <v>30</v>
      </c>
      <c r="X14" s="7">
        <f t="shared" si="5"/>
        <v>30</v>
      </c>
      <c r="Y14" s="10">
        <f>VLOOKUP(A14:A49,[2]TDSheet!$A$6:$Q$44,17,)</f>
        <v>26</v>
      </c>
      <c r="Z14" s="8">
        <f>VLOOKUP(A14:A49,[1]TDSheet!$A$6:$U$44,21,)</f>
        <v>0</v>
      </c>
      <c r="AA14" s="9">
        <f>VLOOKUP(A14:A49,[2]TDSheet!$A$6:$U$44,21,)</f>
        <v>9</v>
      </c>
      <c r="AB14" s="7" t="e">
        <f t="shared" si="6"/>
        <v>#DIV/0!</v>
      </c>
      <c r="AC14" s="10">
        <f>VLOOKUP(A14:A49,[2]TDSheet!$A$6:$T$44,20,)</f>
        <v>24</v>
      </c>
      <c r="AD14" s="8">
        <f>VLOOKUP(A14:A49,[1]TDSheet!$A$6:$X$43,24,)</f>
        <v>5</v>
      </c>
      <c r="AE14" s="9">
        <f>VLOOKUP(A14:A49,[2]TDSheet!$A$6:$X$44,24,)</f>
        <v>53</v>
      </c>
      <c r="AF14" s="7">
        <f t="shared" si="7"/>
        <v>10.6</v>
      </c>
      <c r="AG14" s="10">
        <f>VLOOKUP(A14:A49,[2]TDSheet!$A$6:$W$44,23,)</f>
        <v>9</v>
      </c>
      <c r="AH14" s="8">
        <f>VLOOKUP(A14:A49,[1]TDSheet!$A$6:$AA$43,27,)</f>
        <v>0</v>
      </c>
      <c r="AI14" s="9">
        <f>VLOOKUP(A14:A49,[2]TDSheet!$A$6:$AA$44,27,)</f>
        <v>19.667999999999999</v>
      </c>
      <c r="AJ14" s="7" t="e">
        <f t="shared" si="8"/>
        <v>#DIV/0!</v>
      </c>
      <c r="AK14" s="10">
        <f>VLOOKUP(A14:A49,[2]TDSheet!$A$6:$Z$44,26,)</f>
        <v>-6.0999999999999999E-2</v>
      </c>
      <c r="AL14" s="8">
        <f>VLOOKUP(A14:A49,[1]TDSheet!$A$6:$AD$43,30,)</f>
        <v>5</v>
      </c>
      <c r="AM14" s="9">
        <f>VLOOKUP(A14:A49,[2]TDSheet!$A$6:$AD$44,30,)</f>
        <v>33</v>
      </c>
      <c r="AN14" s="7">
        <f t="shared" si="9"/>
        <v>6.6</v>
      </c>
      <c r="AO14" s="10">
        <f>VLOOKUP(A14:A49,[2]TDSheet!$A$6:$AC$44,29,)</f>
        <v>27</v>
      </c>
      <c r="AP14" s="8">
        <f>VLOOKUP(A14:A49,[1]TDSheet!$A$6:$AG$43,33,)</f>
        <v>2</v>
      </c>
      <c r="AQ14" s="9">
        <f>VLOOKUP(A14:A49,[2]TDSheet!$A$6:$AG$44,33,)</f>
        <v>77</v>
      </c>
      <c r="AR14" s="7">
        <f t="shared" si="10"/>
        <v>38.5</v>
      </c>
      <c r="AS14" s="10">
        <f>VLOOKUP(A14:A49,[2]TDSheet!$A$6:$AF$44,32,)</f>
        <v>-3</v>
      </c>
      <c r="AT14" s="8">
        <f>VLOOKUP(A14:A49,[1]TDSheet!$A$6:$AJ$43,36,)</f>
        <v>1.1679999999999999</v>
      </c>
      <c r="AU14" s="9">
        <f>VLOOKUP(A14:A49,[2]TDSheet!$A$6:$AJ$44,36,)</f>
        <v>26.655999999999999</v>
      </c>
      <c r="AV14" s="7">
        <f t="shared" si="11"/>
        <v>22.82191780821918</v>
      </c>
      <c r="AW14" s="10">
        <f>VLOOKUP(A14:A49,[2]TDSheet!$A$6:$AI$44,35)</f>
        <v>1.0720000000000001</v>
      </c>
      <c r="AX14" s="8">
        <f>VLOOKUP(A14:A49,[1]TDSheet!$A$6:$AM$43,39,)</f>
        <v>0.78600000000000003</v>
      </c>
      <c r="AY14" s="29">
        <f>VLOOKUP(A14:A49,[2]TDSheet!$A$6:$AM$44,39,)</f>
        <v>30.83</v>
      </c>
      <c r="AZ14" s="7">
        <f t="shared" si="12"/>
        <v>39.223918575063607</v>
      </c>
      <c r="BA14" s="30">
        <f>VLOOKUP(A14:A49,[2]TDSheet!$A$6:$AL$44,38,)</f>
        <v>19.228000000000002</v>
      </c>
    </row>
    <row r="15" spans="1:53" ht="10.9" customHeight="1" x14ac:dyDescent="0.2">
      <c r="A15" s="2" t="s">
        <v>13</v>
      </c>
      <c r="B15" s="8">
        <f>VLOOKUP(A15:A50,[1]TDSheet!$A$6:$C$43,3,)</f>
        <v>0.91200000000000003</v>
      </c>
      <c r="C15" s="9">
        <f>VLOOKUP(A15:A50,[2]TDSheet!$A$6:$C$44,3,)</f>
        <v>0</v>
      </c>
      <c r="D15" s="7">
        <f t="shared" si="0"/>
        <v>0</v>
      </c>
      <c r="E15" s="10">
        <f>VLOOKUP(A15:A50,[2]TDSheet!$A$6:$B$44,2,)</f>
        <v>0</v>
      </c>
      <c r="F15" s="8">
        <f>VLOOKUP(A15:A50,[1]TDSheet!$A$6:$F$43,6,)</f>
        <v>0</v>
      </c>
      <c r="G15" s="9">
        <f>VLOOKUP(A15:A50,[2]TDSheet!$A$6:$F$44,6,)</f>
        <v>0.71599999999999997</v>
      </c>
      <c r="H15" s="7" t="e">
        <f t="shared" si="1"/>
        <v>#DIV/0!</v>
      </c>
      <c r="I15" s="28">
        <f>VLOOKUP(A15:A50,[2]TDSheet!$A$6:$E$44,5,)</f>
        <v>0</v>
      </c>
      <c r="J15" s="8">
        <f>VLOOKUP(A15:A50,[1]TDSheet!$A$6:$I$43,9,)</f>
        <v>1</v>
      </c>
      <c r="K15" s="9">
        <f>VLOOKUP(A15:A50,[2]TDSheet!$A$6:$I$44,9,)</f>
        <v>14</v>
      </c>
      <c r="L15" s="7">
        <f t="shared" si="2"/>
        <v>14</v>
      </c>
      <c r="M15" s="10">
        <f>VLOOKUP(A15:A50,[2]TDSheet!$A$6:$H$44,8,)</f>
        <v>0</v>
      </c>
      <c r="N15" s="8">
        <f>VLOOKUP(A15:A50,[1]TDSheet!$A$6:$L$43,12,)</f>
        <v>5</v>
      </c>
      <c r="O15" s="9">
        <f>VLOOKUP(A15:A50,[2]TDSheet!$A$6:$L$44,12,)</f>
        <v>141</v>
      </c>
      <c r="P15" s="7">
        <f t="shared" si="3"/>
        <v>28.2</v>
      </c>
      <c r="Q15" s="10">
        <f>VLOOKUP(A15:A50,[2]TDSheet!$A$6:$K$44,11,)</f>
        <v>0</v>
      </c>
      <c r="R15" s="8">
        <f>VLOOKUP(A15:A50,[1]TDSheet!$A$6:$O$43,15,)</f>
        <v>8</v>
      </c>
      <c r="S15" s="9">
        <f>VLOOKUP(A15:A50,[2]TDSheet!$A$6:$O$44,15,)</f>
        <v>13</v>
      </c>
      <c r="T15" s="7">
        <f t="shared" si="4"/>
        <v>1.625</v>
      </c>
      <c r="U15" s="10">
        <f>VLOOKUP(A15:A50,[2]TDSheet!$A$6:$N$44,14,)</f>
        <v>62</v>
      </c>
      <c r="V15" s="8">
        <f>VLOOKUP(A15:A50,[1]TDSheet!$A$6:$R$43,18)</f>
        <v>0</v>
      </c>
      <c r="W15" s="9">
        <f>VLOOKUP(A15:A50,[2]TDSheet!$A$6:$R$44,18,)</f>
        <v>7</v>
      </c>
      <c r="X15" s="7" t="e">
        <f t="shared" si="5"/>
        <v>#DIV/0!</v>
      </c>
      <c r="Y15" s="10">
        <f>VLOOKUP(A15:A50,[2]TDSheet!$A$6:$Q$44,17,)</f>
        <v>11</v>
      </c>
      <c r="Z15" s="8">
        <f>VLOOKUP(A15:A50,[1]TDSheet!$A$6:$U$44,21,)</f>
        <v>1</v>
      </c>
      <c r="AA15" s="9">
        <f>VLOOKUP(A15:A50,[2]TDSheet!$A$6:$U$44,21,)</f>
        <v>0</v>
      </c>
      <c r="AB15" s="7">
        <f t="shared" si="6"/>
        <v>0</v>
      </c>
      <c r="AC15" s="10">
        <f>VLOOKUP(A15:A50,[2]TDSheet!$A$6:$T$44,20,)</f>
        <v>0</v>
      </c>
      <c r="AD15" s="8">
        <f>VLOOKUP(A15:A50,[1]TDSheet!$A$6:$X$43,24,)</f>
        <v>14</v>
      </c>
      <c r="AE15" s="9">
        <f>VLOOKUP(A15:A50,[2]TDSheet!$A$6:$X$44,24,)</f>
        <v>21</v>
      </c>
      <c r="AF15" s="7">
        <f t="shared" si="7"/>
        <v>1.5</v>
      </c>
      <c r="AG15" s="10">
        <f>VLOOKUP(A15:A50,[2]TDSheet!$A$6:$W$44,23,)</f>
        <v>-1</v>
      </c>
      <c r="AH15" s="8">
        <f>VLOOKUP(A15:A50,[1]TDSheet!$A$6:$AA$43,27,)</f>
        <v>0</v>
      </c>
      <c r="AI15" s="9">
        <f>VLOOKUP(A15:A50,[2]TDSheet!$A$6:$AA$44,27,)</f>
        <v>0</v>
      </c>
      <c r="AJ15" s="7" t="e">
        <f t="shared" si="8"/>
        <v>#DIV/0!</v>
      </c>
      <c r="AK15" s="10">
        <f>VLOOKUP(A15:A50,[2]TDSheet!$A$6:$Z$44,26,)</f>
        <v>0</v>
      </c>
      <c r="AL15" s="8">
        <f>VLOOKUP(A15:A50,[1]TDSheet!$A$6:$AD$43,30,)</f>
        <v>0</v>
      </c>
      <c r="AM15" s="9">
        <f>VLOOKUP(A15:A50,[2]TDSheet!$A$6:$AD$44,30,)</f>
        <v>5</v>
      </c>
      <c r="AN15" s="7" t="e">
        <f t="shared" si="9"/>
        <v>#DIV/0!</v>
      </c>
      <c r="AO15" s="10">
        <f>VLOOKUP(A15:A50,[2]TDSheet!$A$6:$AC$44,29,)</f>
        <v>38</v>
      </c>
      <c r="AP15" s="8">
        <f>VLOOKUP(A15:A50,[1]TDSheet!$A$6:$AG$43,33,)</f>
        <v>6</v>
      </c>
      <c r="AQ15" s="9">
        <f>VLOOKUP(A15:A50,[2]TDSheet!$A$6:$AG$44,33,)</f>
        <v>21</v>
      </c>
      <c r="AR15" s="7">
        <f t="shared" si="10"/>
        <v>3.5</v>
      </c>
      <c r="AS15" s="10">
        <f>VLOOKUP(A15:A50,[2]TDSheet!$A$6:$AF$44,32,)</f>
        <v>21</v>
      </c>
      <c r="AT15" s="8">
        <f>VLOOKUP(A15:A50,[1]TDSheet!$A$6:$AJ$43,36,)</f>
        <v>2.0920000000000001</v>
      </c>
      <c r="AU15" s="9">
        <f>VLOOKUP(A15:A50,[2]TDSheet!$A$6:$AJ$44,36,)</f>
        <v>5.3440000000000003</v>
      </c>
      <c r="AV15" s="7">
        <f t="shared" si="11"/>
        <v>2.5544933078393881</v>
      </c>
      <c r="AW15" s="10">
        <f>VLOOKUP(A15:A50,[2]TDSheet!$A$6:$AI$44,35)</f>
        <v>-0.01</v>
      </c>
      <c r="AX15" s="8">
        <f>VLOOKUP(A15:A50,[1]TDSheet!$A$6:$AM$43,39,)</f>
        <v>0.106</v>
      </c>
      <c r="AY15" s="29">
        <f>VLOOKUP(A15:A50,[2]TDSheet!$A$6:$AM$44,39,)</f>
        <v>7.57</v>
      </c>
      <c r="AZ15" s="7">
        <f t="shared" si="12"/>
        <v>71.415094339622641</v>
      </c>
      <c r="BA15" s="30">
        <f>VLOOKUP(A15:A50,[2]TDSheet!$A$6:$AL$44,38,)</f>
        <v>22.454000000000001</v>
      </c>
    </row>
    <row r="16" spans="1:53" ht="10.9" customHeight="1" x14ac:dyDescent="0.2">
      <c r="A16" s="2" t="s">
        <v>14</v>
      </c>
      <c r="B16" s="8">
        <f>VLOOKUP(A16:A51,[1]TDSheet!$A$6:$C$43,3,)</f>
        <v>3.12</v>
      </c>
      <c r="C16" s="9">
        <f>VLOOKUP(A16:A51,[2]TDSheet!$A$6:$C$44,3,)</f>
        <v>4.12</v>
      </c>
      <c r="D16" s="7">
        <f t="shared" si="0"/>
        <v>1.3205128205128205</v>
      </c>
      <c r="E16" s="10">
        <f>VLOOKUP(A16:A51,[2]TDSheet!$A$6:$B$44,2,)</f>
        <v>-0.01</v>
      </c>
      <c r="F16" s="8">
        <f>VLOOKUP(A16:A51,[1]TDSheet!$A$6:$F$43,6,)</f>
        <v>3.2040000000000002</v>
      </c>
      <c r="G16" s="9">
        <f>VLOOKUP(A16:A51,[2]TDSheet!$A$6:$F$44,6,)</f>
        <v>8.52</v>
      </c>
      <c r="H16" s="7">
        <f t="shared" si="1"/>
        <v>2.6591760299625467</v>
      </c>
      <c r="I16" s="28">
        <f>VLOOKUP(A16:A51,[2]TDSheet!$A$6:$E$44,5,)</f>
        <v>0.78200000000000003</v>
      </c>
      <c r="J16" s="8">
        <f>VLOOKUP(A16:A51,[1]TDSheet!$A$6:$I$43,9,)</f>
        <v>1</v>
      </c>
      <c r="K16" s="9">
        <f>VLOOKUP(A16:A51,[2]TDSheet!$A$6:$I$44,9,)</f>
        <v>34</v>
      </c>
      <c r="L16" s="7">
        <f t="shared" si="2"/>
        <v>34</v>
      </c>
      <c r="M16" s="10">
        <f>VLOOKUP(A16:A51,[2]TDSheet!$A$6:$H$44,8,)</f>
        <v>17</v>
      </c>
      <c r="N16" s="8">
        <f>VLOOKUP(A16:A51,[1]TDSheet!$A$6:$L$43,12,)</f>
        <v>4</v>
      </c>
      <c r="O16" s="9">
        <f>VLOOKUP(A16:A51,[2]TDSheet!$A$6:$L$44,12,)</f>
        <v>107</v>
      </c>
      <c r="P16" s="7">
        <f t="shared" si="3"/>
        <v>26.75</v>
      </c>
      <c r="Q16" s="10">
        <f>VLOOKUP(A16:A51,[2]TDSheet!$A$6:$K$44,11,)</f>
        <v>1</v>
      </c>
      <c r="R16" s="8">
        <f>VLOOKUP(A16:A51,[1]TDSheet!$A$6:$O$43,15,)</f>
        <v>3</v>
      </c>
      <c r="S16" s="9">
        <f>VLOOKUP(A16:A51,[2]TDSheet!$A$6:$O$44,15,)</f>
        <v>40</v>
      </c>
      <c r="T16" s="7">
        <f t="shared" si="4"/>
        <v>13.333333333333334</v>
      </c>
      <c r="U16" s="10">
        <f>VLOOKUP(A16:A51,[2]TDSheet!$A$6:$N$44,14,)</f>
        <v>131</v>
      </c>
      <c r="V16" s="8">
        <f>VLOOKUP(A16:A51,[1]TDSheet!$A$6:$R$43,18)</f>
        <v>1</v>
      </c>
      <c r="W16" s="9">
        <f>VLOOKUP(A16:A51,[2]TDSheet!$A$6:$R$44,18,)</f>
        <v>20</v>
      </c>
      <c r="X16" s="7">
        <f t="shared" si="5"/>
        <v>20</v>
      </c>
      <c r="Y16" s="10">
        <f>VLOOKUP(A16:A51,[2]TDSheet!$A$6:$Q$44,17,)</f>
        <v>5</v>
      </c>
      <c r="Z16" s="8">
        <f>VLOOKUP(A16:A51,[1]TDSheet!$A$6:$U$44,21,)</f>
        <v>2</v>
      </c>
      <c r="AA16" s="9">
        <f>VLOOKUP(A16:A51,[2]TDSheet!$A$6:$U$44,21,)</f>
        <v>37</v>
      </c>
      <c r="AB16" s="7">
        <f t="shared" si="6"/>
        <v>18.5</v>
      </c>
      <c r="AC16" s="10">
        <f>VLOOKUP(A16:A51,[2]TDSheet!$A$6:$T$44,20,)</f>
        <v>26</v>
      </c>
      <c r="AD16" s="8">
        <f>VLOOKUP(A16:A51,[1]TDSheet!$A$6:$X$43,24,)</f>
        <v>0</v>
      </c>
      <c r="AE16" s="9">
        <f>VLOOKUP(A16:A51,[2]TDSheet!$A$6:$X$44,24,)</f>
        <v>53</v>
      </c>
      <c r="AF16" s="7" t="e">
        <f t="shared" si="7"/>
        <v>#DIV/0!</v>
      </c>
      <c r="AG16" s="10">
        <f>VLOOKUP(A16:A51,[2]TDSheet!$A$6:$W$44,23,)</f>
        <v>9</v>
      </c>
      <c r="AH16" s="8">
        <f>VLOOKUP(A16:A51,[1]TDSheet!$A$6:$AA$43,27,)</f>
        <v>0</v>
      </c>
      <c r="AI16" s="9">
        <f>VLOOKUP(A16:A51,[2]TDSheet!$A$6:$AA$44,27,)</f>
        <v>6.7839999999999998</v>
      </c>
      <c r="AJ16" s="7" t="e">
        <f t="shared" si="8"/>
        <v>#DIV/0!</v>
      </c>
      <c r="AK16" s="10">
        <f>VLOOKUP(A16:A51,[2]TDSheet!$A$6:$Z$44,26,)</f>
        <v>-4.0000000000000001E-3</v>
      </c>
      <c r="AL16" s="8">
        <f>VLOOKUP(A16:A51,[1]TDSheet!$A$6:$AD$43,30,)</f>
        <v>4</v>
      </c>
      <c r="AM16" s="9">
        <f>VLOOKUP(A16:A51,[2]TDSheet!$A$6:$AD$44,30,)</f>
        <v>21</v>
      </c>
      <c r="AN16" s="7">
        <f t="shared" si="9"/>
        <v>5.25</v>
      </c>
      <c r="AO16" s="10">
        <f>VLOOKUP(A16:A51,[2]TDSheet!$A$6:$AC$44,29,)</f>
        <v>15</v>
      </c>
      <c r="AP16" s="8">
        <f>VLOOKUP(A16:A51,[1]TDSheet!$A$6:$AG$43,33,)</f>
        <v>3</v>
      </c>
      <c r="AQ16" s="9">
        <f>VLOOKUP(A16:A51,[2]TDSheet!$A$6:$AG$44,33,)</f>
        <v>16</v>
      </c>
      <c r="AR16" s="7">
        <f t="shared" si="10"/>
        <v>5.333333333333333</v>
      </c>
      <c r="AS16" s="10">
        <f>VLOOKUP(A16:A51,[2]TDSheet!$A$6:$AF$44,32,)</f>
        <v>24</v>
      </c>
      <c r="AT16" s="8">
        <f>VLOOKUP(A16:A51,[1]TDSheet!$A$6:$AJ$43,36,)</f>
        <v>2.766</v>
      </c>
      <c r="AU16" s="9">
        <f>VLOOKUP(A16:A51,[2]TDSheet!$A$6:$AJ$44,36,)</f>
        <v>22.425999999999998</v>
      </c>
      <c r="AV16" s="7">
        <f t="shared" si="11"/>
        <v>8.1077368040491677</v>
      </c>
      <c r="AW16" s="10">
        <f>VLOOKUP(A16:A51,[2]TDSheet!$A$6:$AI$44,35)</f>
        <v>0.41099999999999998</v>
      </c>
      <c r="AX16" s="8">
        <f>VLOOKUP(A16:A51,[1]TDSheet!$A$6:$AM$43,39,)</f>
        <v>0.57399999999999995</v>
      </c>
      <c r="AY16" s="29">
        <f>VLOOKUP(A16:A51,[2]TDSheet!$A$6:$AM$44,39,)</f>
        <v>18.72</v>
      </c>
      <c r="AZ16" s="7">
        <f t="shared" si="12"/>
        <v>32.613240418118465</v>
      </c>
      <c r="BA16" s="30">
        <f>VLOOKUP(A16:A51,[2]TDSheet!$A$6:$AL$44,38,)</f>
        <v>8.7119999999999997</v>
      </c>
    </row>
    <row r="17" spans="1:53" ht="10.9" customHeight="1" x14ac:dyDescent="0.2">
      <c r="A17" s="2" t="s">
        <v>15</v>
      </c>
      <c r="B17" s="8">
        <f>VLOOKUP(A17:A52,[1]TDSheet!$A$6:$C$43,3,)</f>
        <v>2.1280000000000001</v>
      </c>
      <c r="C17" s="9">
        <f>VLOOKUP(A17:A52,[2]TDSheet!$A$6:$C$44,3,)</f>
        <v>4.3579999999999997</v>
      </c>
      <c r="D17" s="7">
        <f t="shared" si="0"/>
        <v>2.0479323308270674</v>
      </c>
      <c r="E17" s="10">
        <f>VLOOKUP(A17:A52,[2]TDSheet!$A$6:$B$44,2,)</f>
        <v>4.0460000000000003</v>
      </c>
      <c r="F17" s="8">
        <f>VLOOKUP(A17:A52,[1]TDSheet!$A$6:$F$43,6,)</f>
        <v>1.0940000000000001</v>
      </c>
      <c r="G17" s="9">
        <f>VLOOKUP(A17:A52,[2]TDSheet!$A$6:$F$44,6,)</f>
        <v>3.6880000000000002</v>
      </c>
      <c r="H17" s="7">
        <f t="shared" si="1"/>
        <v>3.3711151736745886</v>
      </c>
      <c r="I17" s="28">
        <f>VLOOKUP(A17:A52,[2]TDSheet!$A$6:$E$44,5,)</f>
        <v>1.2E-2</v>
      </c>
      <c r="J17" s="8">
        <f>VLOOKUP(A17:A52,[1]TDSheet!$A$6:$I$43,9,)</f>
        <v>0</v>
      </c>
      <c r="K17" s="9">
        <f>VLOOKUP(A17:A52,[2]TDSheet!$A$6:$I$44,9,)</f>
        <v>38</v>
      </c>
      <c r="L17" s="7" t="e">
        <f t="shared" si="2"/>
        <v>#DIV/0!</v>
      </c>
      <c r="M17" s="10">
        <f>VLOOKUP(A17:A52,[2]TDSheet!$A$6:$H$44,8,)</f>
        <v>13</v>
      </c>
      <c r="N17" s="8">
        <f>VLOOKUP(A17:A52,[1]TDSheet!$A$6:$L$43,12,)</f>
        <v>3</v>
      </c>
      <c r="O17" s="9">
        <f>VLOOKUP(A17:A52,[2]TDSheet!$A$6:$L$44,12,)</f>
        <v>110</v>
      </c>
      <c r="P17" s="7">
        <f t="shared" si="3"/>
        <v>36.666666666666664</v>
      </c>
      <c r="Q17" s="10">
        <f>VLOOKUP(A17:A52,[2]TDSheet!$A$6:$K$44,11,)</f>
        <v>2</v>
      </c>
      <c r="R17" s="8">
        <f>VLOOKUP(A17:A52,[1]TDSheet!$A$6:$O$43,15,)</f>
        <v>1</v>
      </c>
      <c r="S17" s="9">
        <f>VLOOKUP(A17:A52,[2]TDSheet!$A$6:$O$44,15,)</f>
        <v>22</v>
      </c>
      <c r="T17" s="7">
        <f t="shared" si="4"/>
        <v>22</v>
      </c>
      <c r="U17" s="10">
        <f>VLOOKUP(A17:A52,[2]TDSheet!$A$6:$N$44,14,)</f>
        <v>66</v>
      </c>
      <c r="V17" s="8">
        <f>VLOOKUP(A17:A52,[1]TDSheet!$A$6:$R$43,18)</f>
        <v>2</v>
      </c>
      <c r="W17" s="9">
        <f>VLOOKUP(A17:A52,[2]TDSheet!$A$6:$R$44,18,)</f>
        <v>22</v>
      </c>
      <c r="X17" s="7">
        <f t="shared" si="5"/>
        <v>11</v>
      </c>
      <c r="Y17" s="10">
        <f>VLOOKUP(A17:A52,[2]TDSheet!$A$6:$Q$44,17,)</f>
        <v>11</v>
      </c>
      <c r="Z17" s="8">
        <f>VLOOKUP(A17:A52,[1]TDSheet!$A$6:$U$44,21,)</f>
        <v>1</v>
      </c>
      <c r="AA17" s="9">
        <f>VLOOKUP(A17:A52,[2]TDSheet!$A$6:$U$44,21,)</f>
        <v>48</v>
      </c>
      <c r="AB17" s="7">
        <f t="shared" si="6"/>
        <v>48</v>
      </c>
      <c r="AC17" s="10">
        <f>VLOOKUP(A17:A52,[2]TDSheet!$A$6:$T$44,20,)</f>
        <v>16</v>
      </c>
      <c r="AD17" s="8">
        <f>VLOOKUP(A17:A52,[1]TDSheet!$A$6:$X$43,24,)</f>
        <v>6</v>
      </c>
      <c r="AE17" s="9">
        <f>VLOOKUP(A17:A52,[2]TDSheet!$A$6:$X$44,24,)</f>
        <v>46</v>
      </c>
      <c r="AF17" s="7">
        <f t="shared" si="7"/>
        <v>7.666666666666667</v>
      </c>
      <c r="AG17" s="10">
        <f>VLOOKUP(A17:A52,[2]TDSheet!$A$6:$W$44,23,)</f>
        <v>3</v>
      </c>
      <c r="AH17" s="8">
        <f>VLOOKUP(A17:A52,[1]TDSheet!$A$6:$AA$43,27,)</f>
        <v>0</v>
      </c>
      <c r="AI17" s="9">
        <f>VLOOKUP(A17:A52,[2]TDSheet!$A$6:$AA$44,27,)</f>
        <v>1.6160000000000001</v>
      </c>
      <c r="AJ17" s="7" t="e">
        <f t="shared" si="8"/>
        <v>#DIV/0!</v>
      </c>
      <c r="AK17" s="10">
        <f>VLOOKUP(A17:A52,[2]TDSheet!$A$6:$Z$44,26,)</f>
        <v>0.77200000000000002</v>
      </c>
      <c r="AL17" s="8">
        <f>VLOOKUP(A17:A52,[1]TDSheet!$A$6:$AD$43,30,)</f>
        <v>1</v>
      </c>
      <c r="AM17" s="9">
        <f>VLOOKUP(A17:A52,[2]TDSheet!$A$6:$AD$44,30,)</f>
        <v>15</v>
      </c>
      <c r="AN17" s="7">
        <f t="shared" si="9"/>
        <v>15</v>
      </c>
      <c r="AO17" s="10">
        <f>VLOOKUP(A17:A52,[2]TDSheet!$A$6:$AC$44,29,)</f>
        <v>22</v>
      </c>
      <c r="AP17" s="8">
        <f>VLOOKUP(A17:A52,[1]TDSheet!$A$6:$AG$43,33,)</f>
        <v>2</v>
      </c>
      <c r="AQ17" s="9">
        <f>VLOOKUP(A17:A52,[2]TDSheet!$A$6:$AG$44,33,)</f>
        <v>58</v>
      </c>
      <c r="AR17" s="7">
        <f t="shared" si="10"/>
        <v>29</v>
      </c>
      <c r="AS17" s="10">
        <f>VLOOKUP(A17:A52,[2]TDSheet!$A$6:$AF$44,32,)</f>
        <v>11</v>
      </c>
      <c r="AT17" s="8">
        <f>VLOOKUP(A17:A52,[1]TDSheet!$A$6:$AJ$43,36,)</f>
        <v>2.306</v>
      </c>
      <c r="AU17" s="9">
        <f>VLOOKUP(A17:A52,[2]TDSheet!$A$6:$AJ$44,36,)</f>
        <v>10.746</v>
      </c>
      <c r="AV17" s="7">
        <f t="shared" si="11"/>
        <v>4.660017346053773</v>
      </c>
      <c r="AW17" s="10">
        <f>VLOOKUP(A17:A52,[2]TDSheet!$A$6:$AI$44,35)</f>
        <v>4.7460000000000004</v>
      </c>
      <c r="AX17" s="8">
        <f>VLOOKUP(A17:A52,[1]TDSheet!$A$6:$AM$43,39,)</f>
        <v>0</v>
      </c>
      <c r="AY17" s="29">
        <f>VLOOKUP(A17:A52,[2]TDSheet!$A$6:$AM$44,39,)</f>
        <v>2.0960000000000001</v>
      </c>
      <c r="AZ17" s="7" t="e">
        <f t="shared" si="12"/>
        <v>#DIV/0!</v>
      </c>
      <c r="BA17" s="30">
        <f>VLOOKUP(A17:A52,[2]TDSheet!$A$6:$AL$44,38,)</f>
        <v>16.521999999999998</v>
      </c>
    </row>
    <row r="18" spans="1:53" ht="10.9" customHeight="1" x14ac:dyDescent="0.2">
      <c r="A18" s="2" t="s">
        <v>16</v>
      </c>
      <c r="B18" s="8">
        <f>VLOOKUP(A18:A53,[1]TDSheet!$A$6:$C$43,3,)</f>
        <v>1.032</v>
      </c>
      <c r="C18" s="9">
        <f>VLOOKUP(A18:A53,[2]TDSheet!$A$6:$C$44,3,)</f>
        <v>1.792</v>
      </c>
      <c r="D18" s="7">
        <f t="shared" si="0"/>
        <v>1.7364341085271318</v>
      </c>
      <c r="E18" s="10">
        <f>VLOOKUP(A18:A53,[2]TDSheet!$A$6:$B$44,2,)</f>
        <v>0</v>
      </c>
      <c r="F18" s="8">
        <f>VLOOKUP(A18:A53,[1]TDSheet!$A$6:$F$43,6,)</f>
        <v>0</v>
      </c>
      <c r="G18" s="9">
        <f>VLOOKUP(A18:A53,[2]TDSheet!$A$6:$F$44,6,)</f>
        <v>1.46</v>
      </c>
      <c r="H18" s="7" t="e">
        <f t="shared" si="1"/>
        <v>#DIV/0!</v>
      </c>
      <c r="I18" s="28">
        <f>VLOOKUP(A18:A53,[2]TDSheet!$A$6:$E$44,5,)</f>
        <v>0</v>
      </c>
      <c r="J18" s="8">
        <f>VLOOKUP(A18:A53,[1]TDSheet!$A$6:$I$43,9,)</f>
        <v>0</v>
      </c>
      <c r="K18" s="9">
        <f>VLOOKUP(A18:A53,[2]TDSheet!$A$6:$I$44,9,)</f>
        <v>26</v>
      </c>
      <c r="L18" s="7" t="e">
        <f t="shared" si="2"/>
        <v>#DIV/0!</v>
      </c>
      <c r="M18" s="10">
        <f>VLOOKUP(A18:A53,[2]TDSheet!$A$6:$H$44,8,)</f>
        <v>42</v>
      </c>
      <c r="N18" s="8">
        <f>VLOOKUP(A18:A53,[1]TDSheet!$A$6:$L$43,12,)</f>
        <v>0</v>
      </c>
      <c r="O18" s="9">
        <f>VLOOKUP(A18:A53,[2]TDSheet!$A$6:$L$44,12,)</f>
        <v>31</v>
      </c>
      <c r="P18" s="7" t="e">
        <f t="shared" si="3"/>
        <v>#DIV/0!</v>
      </c>
      <c r="Q18" s="10">
        <f>VLOOKUP(A18:A53,[2]TDSheet!$A$6:$K$44,11,)</f>
        <v>6</v>
      </c>
      <c r="R18" s="8">
        <f>VLOOKUP(A18:A53,[1]TDSheet!$A$6:$O$43,15,)</f>
        <v>0</v>
      </c>
      <c r="S18" s="9">
        <f>VLOOKUP(A18:A53,[2]TDSheet!$A$6:$O$44,15,)</f>
        <v>8</v>
      </c>
      <c r="T18" s="7" t="e">
        <f t="shared" si="4"/>
        <v>#DIV/0!</v>
      </c>
      <c r="U18" s="10">
        <f>VLOOKUP(A18:A53,[2]TDSheet!$A$6:$N$44,14,)</f>
        <v>37</v>
      </c>
      <c r="V18" s="8">
        <f>VLOOKUP(A18:A53,[1]TDSheet!$A$6:$R$43,18)</f>
        <v>0</v>
      </c>
      <c r="W18" s="9">
        <f>VLOOKUP(A18:A53,[2]TDSheet!$A$6:$R$44,18,)</f>
        <v>15</v>
      </c>
      <c r="X18" s="7" t="e">
        <f t="shared" si="5"/>
        <v>#DIV/0!</v>
      </c>
      <c r="Y18" s="10">
        <f>VLOOKUP(A18:A53,[2]TDSheet!$A$6:$Q$44,17,)</f>
        <v>9</v>
      </c>
      <c r="Z18" s="8">
        <f>VLOOKUP(A18:A53,[1]TDSheet!$A$6:$U$44,21,)</f>
        <v>2</v>
      </c>
      <c r="AA18" s="9">
        <f>VLOOKUP(A18:A53,[2]TDSheet!$A$6:$U$44,21,)</f>
        <v>15</v>
      </c>
      <c r="AB18" s="7">
        <f t="shared" si="6"/>
        <v>7.5</v>
      </c>
      <c r="AC18" s="10">
        <f>VLOOKUP(A18:A53,[2]TDSheet!$A$6:$T$44,20,)</f>
        <v>31</v>
      </c>
      <c r="AD18" s="8">
        <f>VLOOKUP(A18:A53,[1]TDSheet!$A$6:$X$43,24,)</f>
        <v>2</v>
      </c>
      <c r="AE18" s="9">
        <f>VLOOKUP(A18:A53,[2]TDSheet!$A$6:$X$44,24,)</f>
        <v>15</v>
      </c>
      <c r="AF18" s="7">
        <f t="shared" si="7"/>
        <v>7.5</v>
      </c>
      <c r="AG18" s="10">
        <f>VLOOKUP(A18:A53,[2]TDSheet!$A$6:$W$44,23,)</f>
        <v>0</v>
      </c>
      <c r="AH18" s="8">
        <f>VLOOKUP(A18:A53,[1]TDSheet!$A$6:$AA$43,27,)</f>
        <v>0</v>
      </c>
      <c r="AI18" s="9">
        <f>VLOOKUP(A18:A53,[2]TDSheet!$A$6:$AA$44,27,)</f>
        <v>1.206</v>
      </c>
      <c r="AJ18" s="7" t="e">
        <f t="shared" si="8"/>
        <v>#DIV/0!</v>
      </c>
      <c r="AK18" s="10">
        <f>VLOOKUP(A18:A53,[2]TDSheet!$A$6:$Z$44,26,)</f>
        <v>1.1559999999999999</v>
      </c>
      <c r="AL18" s="8">
        <f>VLOOKUP(A18:A53,[1]TDSheet!$A$6:$AD$43,30,)</f>
        <v>0</v>
      </c>
      <c r="AM18" s="9">
        <f>VLOOKUP(A18:A53,[2]TDSheet!$A$6:$AD$44,30,)</f>
        <v>16</v>
      </c>
      <c r="AN18" s="7" t="e">
        <f t="shared" si="9"/>
        <v>#DIV/0!</v>
      </c>
      <c r="AO18" s="10">
        <f>VLOOKUP(A18:A53,[2]TDSheet!$A$6:$AC$44,29,)</f>
        <v>10</v>
      </c>
      <c r="AP18" s="8">
        <f>VLOOKUP(A18:A53,[1]TDSheet!$A$6:$AG$43,33,)</f>
        <v>2</v>
      </c>
      <c r="AQ18" s="9">
        <f>VLOOKUP(A18:A53,[2]TDSheet!$A$6:$AG$44,33,)</f>
        <v>20</v>
      </c>
      <c r="AR18" s="7">
        <f t="shared" si="10"/>
        <v>10</v>
      </c>
      <c r="AS18" s="10">
        <f>VLOOKUP(A18:A53,[2]TDSheet!$A$6:$AF$44,32,)</f>
        <v>3</v>
      </c>
      <c r="AT18" s="8">
        <f>VLOOKUP(A18:A53,[1]TDSheet!$A$6:$AJ$43,36,)</f>
        <v>0</v>
      </c>
      <c r="AU18" s="9">
        <f>VLOOKUP(A18:A53,[2]TDSheet!$A$6:$AJ$44,36,)</f>
        <v>2.6339999999999999</v>
      </c>
      <c r="AV18" s="7" t="e">
        <f t="shared" si="11"/>
        <v>#DIV/0!</v>
      </c>
      <c r="AW18" s="10">
        <f>VLOOKUP(A18:A53,[2]TDSheet!$A$6:$AI$44,35)</f>
        <v>0</v>
      </c>
      <c r="AX18" s="8">
        <f>VLOOKUP(A18:A53,[1]TDSheet!$A$6:$AM$43,39,)</f>
        <v>0</v>
      </c>
      <c r="AY18" s="29">
        <f>VLOOKUP(A18:A53,[2]TDSheet!$A$6:$AM$44,39,)</f>
        <v>4.0380000000000003</v>
      </c>
      <c r="AZ18" s="7" t="e">
        <f t="shared" si="12"/>
        <v>#DIV/0!</v>
      </c>
      <c r="BA18" s="30">
        <f>VLOOKUP(A18:A53,[2]TDSheet!$A$6:$AL$44,38,)</f>
        <v>10.667999999999999</v>
      </c>
    </row>
    <row r="19" spans="1:53" ht="10.9" customHeight="1" x14ac:dyDescent="0.2">
      <c r="A19" s="2" t="s">
        <v>17</v>
      </c>
      <c r="B19" s="8">
        <f>VLOOKUP(A19:A54,[1]TDSheet!$A$6:$C$43,3,)</f>
        <v>0.91600000000000004</v>
      </c>
      <c r="C19" s="9">
        <f>VLOOKUP(A19:A54,[2]TDSheet!$A$6:$C$44,3,)</f>
        <v>0</v>
      </c>
      <c r="D19" s="7">
        <f t="shared" si="0"/>
        <v>0</v>
      </c>
      <c r="E19" s="10">
        <f>VLOOKUP(A19:A54,[2]TDSheet!$A$6:$B$44,2,)</f>
        <v>3.5939999999999999</v>
      </c>
      <c r="F19" s="8">
        <f>VLOOKUP(A19:A54,[1]TDSheet!$A$6:$F$43,6,)</f>
        <v>0</v>
      </c>
      <c r="G19" s="9">
        <f>VLOOKUP(A19:A54,[2]TDSheet!$A$6:$F$44,6,)</f>
        <v>1.4079999999999999</v>
      </c>
      <c r="H19" s="7" t="e">
        <f t="shared" si="1"/>
        <v>#DIV/0!</v>
      </c>
      <c r="I19" s="28">
        <f>VLOOKUP(A19:A54,[2]TDSheet!$A$6:$E$44,5,)</f>
        <v>0</v>
      </c>
      <c r="J19" s="8">
        <f>VLOOKUP(A19:A54,[1]TDSheet!$A$6:$I$43,9,)</f>
        <v>0</v>
      </c>
      <c r="K19" s="9">
        <f>VLOOKUP(A19:A54,[2]TDSheet!$A$6:$I$44,9,)</f>
        <v>22</v>
      </c>
      <c r="L19" s="7" t="e">
        <f t="shared" si="2"/>
        <v>#DIV/0!</v>
      </c>
      <c r="M19" s="10">
        <f>VLOOKUP(A19:A54,[2]TDSheet!$A$6:$H$44,8,)</f>
        <v>13</v>
      </c>
      <c r="N19" s="8">
        <f>VLOOKUP(A19:A54,[1]TDSheet!$A$6:$L$43,12,)</f>
        <v>4</v>
      </c>
      <c r="O19" s="9">
        <f>VLOOKUP(A19:A54,[2]TDSheet!$A$6:$L$44,12,)</f>
        <v>59</v>
      </c>
      <c r="P19" s="7">
        <f t="shared" si="3"/>
        <v>14.75</v>
      </c>
      <c r="Q19" s="10">
        <f>VLOOKUP(A19:A54,[2]TDSheet!$A$6:$K$44,11,)</f>
        <v>1</v>
      </c>
      <c r="R19" s="8">
        <f>VLOOKUP(A19:A54,[1]TDSheet!$A$6:$O$43,15,)</f>
        <v>1</v>
      </c>
      <c r="S19" s="9">
        <f>VLOOKUP(A19:A54,[2]TDSheet!$A$6:$O$44,15,)</f>
        <v>11</v>
      </c>
      <c r="T19" s="7">
        <f t="shared" si="4"/>
        <v>11</v>
      </c>
      <c r="U19" s="10">
        <f>VLOOKUP(A19:A54,[2]TDSheet!$A$6:$N$44,14,)</f>
        <v>38</v>
      </c>
      <c r="V19" s="8">
        <f>VLOOKUP(A19:A54,[1]TDSheet!$A$6:$R$43,18)</f>
        <v>0</v>
      </c>
      <c r="W19" s="9">
        <f>VLOOKUP(A19:A54,[2]TDSheet!$A$6:$R$44,18,)</f>
        <v>23</v>
      </c>
      <c r="X19" s="7" t="e">
        <f t="shared" si="5"/>
        <v>#DIV/0!</v>
      </c>
      <c r="Y19" s="10">
        <f>VLOOKUP(A19:A54,[2]TDSheet!$A$6:$Q$44,17,)</f>
        <v>6</v>
      </c>
      <c r="Z19" s="8">
        <f>VLOOKUP(A19:A54,[1]TDSheet!$A$6:$U$44,21,)</f>
        <v>7</v>
      </c>
      <c r="AA19" s="9">
        <f>VLOOKUP(A19:A54,[2]TDSheet!$A$6:$U$44,21,)</f>
        <v>9</v>
      </c>
      <c r="AB19" s="7">
        <f t="shared" si="6"/>
        <v>1.2857142857142858</v>
      </c>
      <c r="AC19" s="10">
        <f>VLOOKUP(A19:A54,[2]TDSheet!$A$6:$T$44,20,)</f>
        <v>30</v>
      </c>
      <c r="AD19" s="8">
        <f>VLOOKUP(A19:A54,[1]TDSheet!$A$6:$X$43,24,)</f>
        <v>4</v>
      </c>
      <c r="AE19" s="9">
        <f>VLOOKUP(A19:A54,[2]TDSheet!$A$6:$X$44,24,)</f>
        <v>18</v>
      </c>
      <c r="AF19" s="7">
        <f t="shared" si="7"/>
        <v>4.5</v>
      </c>
      <c r="AG19" s="10">
        <f>VLOOKUP(A19:A54,[2]TDSheet!$A$6:$W$44,23,)</f>
        <v>0</v>
      </c>
      <c r="AH19" s="8">
        <f>VLOOKUP(A19:A54,[1]TDSheet!$A$6:$AA$43,27,)</f>
        <v>0</v>
      </c>
      <c r="AI19" s="9">
        <f>VLOOKUP(A19:A54,[2]TDSheet!$A$6:$AA$44,27,)</f>
        <v>3.1480000000000001</v>
      </c>
      <c r="AJ19" s="7" t="e">
        <f t="shared" si="8"/>
        <v>#DIV/0!</v>
      </c>
      <c r="AK19" s="10">
        <f>VLOOKUP(A19:A54,[2]TDSheet!$A$6:$Z$44,26,)</f>
        <v>0.36799999999999999</v>
      </c>
      <c r="AL19" s="8">
        <f>VLOOKUP(A19:A54,[1]TDSheet!$A$6:$AD$43,30,)</f>
        <v>4</v>
      </c>
      <c r="AM19" s="9">
        <f>VLOOKUP(A19:A54,[2]TDSheet!$A$6:$AD$44,30,)</f>
        <v>17</v>
      </c>
      <c r="AN19" s="7">
        <f t="shared" si="9"/>
        <v>4.25</v>
      </c>
      <c r="AO19" s="10">
        <f>VLOOKUP(A19:A54,[2]TDSheet!$A$6:$AC$44,29,)</f>
        <v>6</v>
      </c>
      <c r="AP19" s="8">
        <f>VLOOKUP(A19:A54,[1]TDSheet!$A$6:$AG$43,33,)</f>
        <v>0</v>
      </c>
      <c r="AQ19" s="9">
        <f>VLOOKUP(A19:A54,[2]TDSheet!$A$6:$AG$44,33,)</f>
        <v>10</v>
      </c>
      <c r="AR19" s="7" t="e">
        <f t="shared" si="10"/>
        <v>#DIV/0!</v>
      </c>
      <c r="AS19" s="10">
        <f>VLOOKUP(A19:A54,[2]TDSheet!$A$6:$AF$44,32,)</f>
        <v>10</v>
      </c>
      <c r="AT19" s="8">
        <f>VLOOKUP(A19:A54,[1]TDSheet!$A$6:$AJ$43,36,)</f>
        <v>0.48799999999999999</v>
      </c>
      <c r="AU19" s="9">
        <f>VLOOKUP(A19:A54,[2]TDSheet!$A$6:$AJ$44,36,)</f>
        <v>9.2460000000000004</v>
      </c>
      <c r="AV19" s="7">
        <f t="shared" si="11"/>
        <v>18.946721311475411</v>
      </c>
      <c r="AW19" s="10">
        <f>VLOOKUP(A19:A54,[2]TDSheet!$A$6:$AI$44,35)</f>
        <v>8.0000000000000002E-3</v>
      </c>
      <c r="AX19" s="8">
        <f>VLOOKUP(A19:A54,[1]TDSheet!$A$6:$AM$43,39,)</f>
        <v>3.5999999999999997E-2</v>
      </c>
      <c r="AY19" s="29">
        <f>VLOOKUP(A19:A54,[2]TDSheet!$A$6:$AM$44,39,)</f>
        <v>11.538</v>
      </c>
      <c r="AZ19" s="7">
        <f t="shared" si="12"/>
        <v>320.50000000000006</v>
      </c>
      <c r="BA19" s="30">
        <f>VLOOKUP(A19:A54,[2]TDSheet!$A$6:$AL$44,38,)</f>
        <v>6.4619999999999997</v>
      </c>
    </row>
    <row r="20" spans="1:53" ht="10.9" customHeight="1" x14ac:dyDescent="0.2">
      <c r="A20" s="2" t="s">
        <v>18</v>
      </c>
      <c r="B20" s="8">
        <f>VLOOKUP(A20:A55,[1]TDSheet!$A$6:$C$43,3,)</f>
        <v>3.298</v>
      </c>
      <c r="C20" s="9">
        <f>VLOOKUP(A20:A55,[2]TDSheet!$A$6:$C$44,3,)</f>
        <v>4.7619999999999996</v>
      </c>
      <c r="D20" s="7">
        <f t="shared" si="0"/>
        <v>1.4439053972104303</v>
      </c>
      <c r="E20" s="10">
        <f>VLOOKUP(A20:A55,[2]TDSheet!$A$6:$B$44,2,)</f>
        <v>4.968</v>
      </c>
      <c r="F20" s="8">
        <f>VLOOKUP(A20:A55,[1]TDSheet!$A$6:$F$43,6,)</f>
        <v>0.68200000000000005</v>
      </c>
      <c r="G20" s="9">
        <f>VLOOKUP(A20:A55,[2]TDSheet!$A$6:$F$44,6,)</f>
        <v>3.5859999999999999</v>
      </c>
      <c r="H20" s="7">
        <f t="shared" si="1"/>
        <v>5.258064516129032</v>
      </c>
      <c r="I20" s="28">
        <f>VLOOKUP(A20:A55,[2]TDSheet!$A$6:$E$44,5,)</f>
        <v>6.0000000000000001E-3</v>
      </c>
      <c r="J20" s="8">
        <f>VLOOKUP(A20:A55,[1]TDSheet!$A$6:$I$43,9,)</f>
        <v>0</v>
      </c>
      <c r="K20" s="9">
        <f>VLOOKUP(A20:A55,[2]TDSheet!$A$6:$I$44,9,)</f>
        <v>26</v>
      </c>
      <c r="L20" s="7" t="e">
        <f t="shared" si="2"/>
        <v>#DIV/0!</v>
      </c>
      <c r="M20" s="10">
        <f>VLOOKUP(A20:A55,[2]TDSheet!$A$6:$H$44,8,)</f>
        <v>2</v>
      </c>
      <c r="N20" s="8">
        <f>VLOOKUP(A20:A55,[1]TDSheet!$A$6:$L$43,12,)</f>
        <v>0</v>
      </c>
      <c r="O20" s="9">
        <f>VLOOKUP(A20:A55,[2]TDSheet!$A$6:$L$44,12,)</f>
        <v>88</v>
      </c>
      <c r="P20" s="7" t="e">
        <f t="shared" si="3"/>
        <v>#DIV/0!</v>
      </c>
      <c r="Q20" s="10">
        <f>VLOOKUP(A20:A55,[2]TDSheet!$A$6:$K$44,11,)</f>
        <v>0</v>
      </c>
      <c r="R20" s="8">
        <f>VLOOKUP(A20:A55,[1]TDSheet!$A$6:$O$43,15,)</f>
        <v>0</v>
      </c>
      <c r="S20" s="9">
        <f>VLOOKUP(A20:A55,[2]TDSheet!$A$6:$O$44,15,)</f>
        <v>4</v>
      </c>
      <c r="T20" s="7" t="e">
        <f t="shared" si="4"/>
        <v>#DIV/0!</v>
      </c>
      <c r="U20" s="10">
        <f>VLOOKUP(A20:A55,[2]TDSheet!$A$6:$N$44,14,)</f>
        <v>93</v>
      </c>
      <c r="V20" s="8">
        <f>VLOOKUP(A20:A55,[1]TDSheet!$A$6:$R$43,18)</f>
        <v>0</v>
      </c>
      <c r="W20" s="9">
        <f>VLOOKUP(A20:A55,[2]TDSheet!$A$6:$R$44,18,)</f>
        <v>14</v>
      </c>
      <c r="X20" s="7" t="e">
        <f t="shared" si="5"/>
        <v>#DIV/0!</v>
      </c>
      <c r="Y20" s="10">
        <f>VLOOKUP(A20:A55,[2]TDSheet!$A$6:$Q$44,17,)</f>
        <v>12</v>
      </c>
      <c r="Z20" s="8">
        <f>VLOOKUP(A20:A55,[1]TDSheet!$A$6:$U$44,21,)</f>
        <v>1</v>
      </c>
      <c r="AA20" s="9">
        <f>VLOOKUP(A20:A55,[2]TDSheet!$A$6:$U$44,21,)</f>
        <v>25</v>
      </c>
      <c r="AB20" s="7">
        <f t="shared" si="6"/>
        <v>25</v>
      </c>
      <c r="AC20" s="10">
        <f>VLOOKUP(A20:A55,[2]TDSheet!$A$6:$T$44,20,)</f>
        <v>36</v>
      </c>
      <c r="AD20" s="8">
        <f>VLOOKUP(A20:A55,[1]TDSheet!$A$6:$X$43,24,)</f>
        <v>13</v>
      </c>
      <c r="AE20" s="9">
        <f>VLOOKUP(A20:A55,[2]TDSheet!$A$6:$X$44,24,)</f>
        <v>64</v>
      </c>
      <c r="AF20" s="7">
        <f t="shared" si="7"/>
        <v>4.9230769230769234</v>
      </c>
      <c r="AG20" s="10">
        <f>VLOOKUP(A20:A55,[2]TDSheet!$A$6:$W$44,23,)</f>
        <v>25</v>
      </c>
      <c r="AH20" s="8">
        <f>VLOOKUP(A20:A55,[1]TDSheet!$A$6:$AA$43,27,)</f>
        <v>0</v>
      </c>
      <c r="AI20" s="9">
        <f>VLOOKUP(A20:A55,[2]TDSheet!$A$6:$AA$44,27,)</f>
        <v>8.9879999999999995</v>
      </c>
      <c r="AJ20" s="7" t="e">
        <f t="shared" si="8"/>
        <v>#DIV/0!</v>
      </c>
      <c r="AK20" s="10">
        <f>VLOOKUP(A20:A55,[2]TDSheet!$A$6:$Z$44,26,)</f>
        <v>-3.95</v>
      </c>
      <c r="AL20" s="8">
        <f>VLOOKUP(A20:A55,[1]TDSheet!$A$6:$AD$43,30,)</f>
        <v>2</v>
      </c>
      <c r="AM20" s="9">
        <f>VLOOKUP(A20:A55,[2]TDSheet!$A$6:$AD$44,30,)</f>
        <v>17</v>
      </c>
      <c r="AN20" s="7">
        <f t="shared" si="9"/>
        <v>8.5</v>
      </c>
      <c r="AO20" s="10">
        <f>VLOOKUP(A20:A55,[2]TDSheet!$A$6:$AC$44,29,)</f>
        <v>16</v>
      </c>
      <c r="AP20" s="8">
        <f>VLOOKUP(A20:A55,[1]TDSheet!$A$6:$AG$43,33,)</f>
        <v>1</v>
      </c>
      <c r="AQ20" s="9">
        <f>VLOOKUP(A20:A55,[2]TDSheet!$A$6:$AG$44,33,)</f>
        <v>16</v>
      </c>
      <c r="AR20" s="7">
        <f t="shared" si="10"/>
        <v>16</v>
      </c>
      <c r="AS20" s="10">
        <f>VLOOKUP(A20:A55,[2]TDSheet!$A$6:$AF$44,32,)</f>
        <v>-12</v>
      </c>
      <c r="AT20" s="8">
        <f>VLOOKUP(A20:A55,[1]TDSheet!$A$6:$AJ$43,36,)</f>
        <v>6.4740000000000002</v>
      </c>
      <c r="AU20" s="9">
        <f>VLOOKUP(A20:A55,[2]TDSheet!$A$6:$AJ$44,36,)</f>
        <v>19.352</v>
      </c>
      <c r="AV20" s="7">
        <f t="shared" si="11"/>
        <v>2.9891875193080013</v>
      </c>
      <c r="AW20" s="10">
        <f>VLOOKUP(A20:A55,[2]TDSheet!$A$6:$AI$44,35)</f>
        <v>2E-3</v>
      </c>
      <c r="AX20" s="8">
        <f>VLOOKUP(A20:A55,[1]TDSheet!$A$6:$AM$43,39,)</f>
        <v>0.246</v>
      </c>
      <c r="AY20" s="29">
        <f>VLOOKUP(A20:A55,[2]TDSheet!$A$6:$AM$44,39,)</f>
        <v>10.278</v>
      </c>
      <c r="AZ20" s="7">
        <f t="shared" si="12"/>
        <v>41.780487804878049</v>
      </c>
      <c r="BA20" s="30">
        <f>VLOOKUP(A20:A55,[2]TDSheet!$A$6:$AL$44,38,)</f>
        <v>18.806000000000001</v>
      </c>
    </row>
    <row r="21" spans="1:53" ht="10.9" customHeight="1" x14ac:dyDescent="0.2">
      <c r="A21" s="2" t="s">
        <v>19</v>
      </c>
      <c r="B21" s="8">
        <f>VLOOKUP(A21:A56,[1]TDSheet!$A$6:$C$43,3,)</f>
        <v>0</v>
      </c>
      <c r="C21" s="9">
        <f>VLOOKUP(A21:A56,[2]TDSheet!$A$6:$C$44,3,)</f>
        <v>1.9359999999999999</v>
      </c>
      <c r="D21" s="7" t="e">
        <f t="shared" si="0"/>
        <v>#DIV/0!</v>
      </c>
      <c r="E21" s="10">
        <f>VLOOKUP(A21:A56,[2]TDSheet!$A$6:$B$44,2,)</f>
        <v>1.1839999999999999</v>
      </c>
      <c r="F21" s="8">
        <f>VLOOKUP(A21:A56,[1]TDSheet!$A$6:$F$43,6,)</f>
        <v>0</v>
      </c>
      <c r="G21" s="9">
        <f>VLOOKUP(A21:A56,[2]TDSheet!$A$6:$F$44,6,)</f>
        <v>1.8280000000000001</v>
      </c>
      <c r="H21" s="7" t="e">
        <f t="shared" si="1"/>
        <v>#DIV/0!</v>
      </c>
      <c r="I21" s="28">
        <f>VLOOKUP(A21:A56,[2]TDSheet!$A$6:$E$44,5,)</f>
        <v>-4.0000000000000001E-3</v>
      </c>
      <c r="J21" s="8">
        <f>VLOOKUP(A21:A56,[1]TDSheet!$A$6:$I$43,9,)</f>
        <v>3</v>
      </c>
      <c r="K21" s="9">
        <f>VLOOKUP(A21:A56,[2]TDSheet!$A$6:$I$44,9,)</f>
        <v>10</v>
      </c>
      <c r="L21" s="7">
        <f t="shared" si="2"/>
        <v>3.3333333333333335</v>
      </c>
      <c r="M21" s="10">
        <f>VLOOKUP(A21:A56,[2]TDSheet!$A$6:$H$44,8,)</f>
        <v>0</v>
      </c>
      <c r="N21" s="8">
        <f>VLOOKUP(A21:A56,[1]TDSheet!$A$6:$L$43,12,)</f>
        <v>3</v>
      </c>
      <c r="O21" s="9">
        <f>VLOOKUP(A21:A56,[2]TDSheet!$A$6:$L$44,12,)</f>
        <v>80</v>
      </c>
      <c r="P21" s="7">
        <f t="shared" si="3"/>
        <v>26.666666666666668</v>
      </c>
      <c r="Q21" s="10">
        <f>VLOOKUP(A21:A56,[2]TDSheet!$A$6:$K$44,11,)</f>
        <v>0</v>
      </c>
      <c r="R21" s="8">
        <f>VLOOKUP(A21:A56,[1]TDSheet!$A$6:$O$43,15,)</f>
        <v>1</v>
      </c>
      <c r="S21" s="9">
        <f>VLOOKUP(A21:A56,[2]TDSheet!$A$6:$O$44,15,)</f>
        <v>21</v>
      </c>
      <c r="T21" s="7">
        <f t="shared" si="4"/>
        <v>21</v>
      </c>
      <c r="U21" s="10">
        <f>VLOOKUP(A21:A56,[2]TDSheet!$A$6:$N$44,14,)</f>
        <v>83</v>
      </c>
      <c r="V21" s="8">
        <f>VLOOKUP(A21:A56,[1]TDSheet!$A$6:$R$43,18)</f>
        <v>1</v>
      </c>
      <c r="W21" s="9">
        <f>VLOOKUP(A21:A56,[2]TDSheet!$A$6:$R$44,18,)</f>
        <v>30</v>
      </c>
      <c r="X21" s="7">
        <f t="shared" si="5"/>
        <v>30</v>
      </c>
      <c r="Y21" s="10">
        <f>VLOOKUP(A21:A56,[2]TDSheet!$A$6:$Q$44,17,)</f>
        <v>13</v>
      </c>
      <c r="Z21" s="8">
        <f>VLOOKUP(A21:A56,[1]TDSheet!$A$6:$U$44,21,)</f>
        <v>1</v>
      </c>
      <c r="AA21" s="9">
        <f>VLOOKUP(A21:A56,[2]TDSheet!$A$6:$U$44,21,)</f>
        <v>16</v>
      </c>
      <c r="AB21" s="7">
        <f t="shared" si="6"/>
        <v>16</v>
      </c>
      <c r="AC21" s="10">
        <f>VLOOKUP(A21:A56,[2]TDSheet!$A$6:$T$44,20,)</f>
        <v>7</v>
      </c>
      <c r="AD21" s="8">
        <f>VLOOKUP(A21:A56,[1]TDSheet!$A$6:$X$43,24,)</f>
        <v>4</v>
      </c>
      <c r="AE21" s="9">
        <f>VLOOKUP(A21:A56,[2]TDSheet!$A$6:$X$44,24,)</f>
        <v>32</v>
      </c>
      <c r="AF21" s="7">
        <f t="shared" si="7"/>
        <v>8</v>
      </c>
      <c r="AG21" s="10">
        <f>VLOOKUP(A21:A56,[2]TDSheet!$A$6:$W$44,23,)</f>
        <v>0</v>
      </c>
      <c r="AH21" s="8">
        <f>VLOOKUP(A21:A56,[1]TDSheet!$A$6:$AA$43,27,)</f>
        <v>0</v>
      </c>
      <c r="AI21" s="9">
        <f>VLOOKUP(A21:A56,[2]TDSheet!$A$6:$AA$44,27,)</f>
        <v>2.0099999999999998</v>
      </c>
      <c r="AJ21" s="7" t="e">
        <f t="shared" si="8"/>
        <v>#DIV/0!</v>
      </c>
      <c r="AK21" s="10">
        <f>VLOOKUP(A21:A56,[2]TDSheet!$A$6:$Z$44,26,)</f>
        <v>0.43</v>
      </c>
      <c r="AL21" s="8">
        <f>VLOOKUP(A21:A56,[1]TDSheet!$A$6:$AD$43,30,)</f>
        <v>4</v>
      </c>
      <c r="AM21" s="9">
        <f>VLOOKUP(A21:A56,[2]TDSheet!$A$6:$AD$44,30,)</f>
        <v>32</v>
      </c>
      <c r="AN21" s="7">
        <f t="shared" si="9"/>
        <v>8</v>
      </c>
      <c r="AO21" s="10">
        <f>VLOOKUP(A21:A56,[2]TDSheet!$A$6:$AC$44,29,)</f>
        <v>19</v>
      </c>
      <c r="AP21" s="8">
        <f>VLOOKUP(A21:A56,[1]TDSheet!$A$6:$AG$43,33,)</f>
        <v>0</v>
      </c>
      <c r="AQ21" s="9">
        <f>VLOOKUP(A21:A56,[2]TDSheet!$A$6:$AG$44,33,)</f>
        <v>21</v>
      </c>
      <c r="AR21" s="7" t="e">
        <f t="shared" si="10"/>
        <v>#DIV/0!</v>
      </c>
      <c r="AS21" s="10">
        <f>VLOOKUP(A21:A56,[2]TDSheet!$A$6:$AF$44,32,)</f>
        <v>19</v>
      </c>
      <c r="AT21" s="8">
        <f>VLOOKUP(A21:A56,[1]TDSheet!$A$6:$AJ$43,36,)</f>
        <v>2.032</v>
      </c>
      <c r="AU21" s="9">
        <f>VLOOKUP(A21:A56,[2]TDSheet!$A$6:$AJ$44,36,)</f>
        <v>5.6360000000000001</v>
      </c>
      <c r="AV21" s="7">
        <f t="shared" si="11"/>
        <v>2.7736220472440944</v>
      </c>
      <c r="AW21" s="10">
        <f>VLOOKUP(A21:A56,[2]TDSheet!$A$6:$AI$44,35)</f>
        <v>6.0000000000000001E-3</v>
      </c>
      <c r="AX21" s="8">
        <f>VLOOKUP(A21:A56,[1]TDSheet!$A$6:$AM$43,39,)</f>
        <v>0.54</v>
      </c>
      <c r="AY21" s="29">
        <f>VLOOKUP(A21:A56,[2]TDSheet!$A$6:$AM$44,39,)</f>
        <v>12.494</v>
      </c>
      <c r="AZ21" s="7">
        <f t="shared" si="12"/>
        <v>23.137037037037036</v>
      </c>
      <c r="BA21" s="30">
        <f>VLOOKUP(A21:A56,[2]TDSheet!$A$6:$AL$44,38,)</f>
        <v>13.532</v>
      </c>
    </row>
    <row r="22" spans="1:53" ht="10.9" customHeight="1" x14ac:dyDescent="0.2">
      <c r="A22" s="2" t="s">
        <v>20</v>
      </c>
      <c r="B22" s="8">
        <f>VLOOKUP(A22:A57,[1]TDSheet!$A$6:$C$43,3,)</f>
        <v>0</v>
      </c>
      <c r="C22" s="9">
        <f>VLOOKUP(A22:A57,[2]TDSheet!$A$6:$C$44,3,)</f>
        <v>3.07</v>
      </c>
      <c r="D22" s="7" t="e">
        <f t="shared" si="0"/>
        <v>#DIV/0!</v>
      </c>
      <c r="E22" s="10">
        <f>VLOOKUP(A22:A57,[2]TDSheet!$A$6:$B$44,2,)</f>
        <v>1.3180000000000001</v>
      </c>
      <c r="F22" s="8">
        <f>VLOOKUP(A22:A57,[1]TDSheet!$A$6:$F$43,6,)</f>
        <v>3.16</v>
      </c>
      <c r="G22" s="9">
        <f>VLOOKUP(A22:A57,[2]TDSheet!$A$6:$F$44,6,)</f>
        <v>6.8819999999999997</v>
      </c>
      <c r="H22" s="7">
        <f t="shared" si="1"/>
        <v>2.1778481012658224</v>
      </c>
      <c r="I22" s="28">
        <f>VLOOKUP(A22:A57,[2]TDSheet!$A$6:$E$44,5,)</f>
        <v>0</v>
      </c>
      <c r="J22" s="8">
        <f>VLOOKUP(A22:A57,[1]TDSheet!$A$6:$I$43,9,)</f>
        <v>0</v>
      </c>
      <c r="K22" s="9">
        <f>VLOOKUP(A22:A57,[2]TDSheet!$A$6:$I$44,9,)</f>
        <v>31</v>
      </c>
      <c r="L22" s="7" t="e">
        <f t="shared" si="2"/>
        <v>#DIV/0!</v>
      </c>
      <c r="M22" s="10">
        <f>VLOOKUP(A22:A57,[2]TDSheet!$A$6:$H$44,8,)</f>
        <v>48</v>
      </c>
      <c r="N22" s="8">
        <f>VLOOKUP(A22:A57,[1]TDSheet!$A$6:$L$43,12,)</f>
        <v>3</v>
      </c>
      <c r="O22" s="9">
        <f>VLOOKUP(A22:A57,[2]TDSheet!$A$6:$L$44,12,)</f>
        <v>108</v>
      </c>
      <c r="P22" s="7">
        <f t="shared" si="3"/>
        <v>36</v>
      </c>
      <c r="Q22" s="10">
        <f>VLOOKUP(A22:A57,[2]TDSheet!$A$6:$K$44,11,)</f>
        <v>18</v>
      </c>
      <c r="R22" s="8">
        <f>VLOOKUP(A22:A57,[1]TDSheet!$A$6:$O$43,15,)</f>
        <v>3</v>
      </c>
      <c r="S22" s="9">
        <f>VLOOKUP(A22:A57,[2]TDSheet!$A$6:$O$44,15,)</f>
        <v>15</v>
      </c>
      <c r="T22" s="7">
        <f t="shared" si="4"/>
        <v>5</v>
      </c>
      <c r="U22" s="10">
        <f>VLOOKUP(A22:A57,[2]TDSheet!$A$6:$N$44,14,)</f>
        <v>60</v>
      </c>
      <c r="V22" s="8">
        <f>VLOOKUP(A22:A57,[1]TDSheet!$A$6:$R$43,18)</f>
        <v>2</v>
      </c>
      <c r="W22" s="9">
        <f>VLOOKUP(A22:A57,[2]TDSheet!$A$6:$R$44,18,)</f>
        <v>21</v>
      </c>
      <c r="X22" s="7">
        <f t="shared" si="5"/>
        <v>10.5</v>
      </c>
      <c r="Y22" s="10">
        <f>VLOOKUP(A22:A57,[2]TDSheet!$A$6:$Q$44,17,)</f>
        <v>10</v>
      </c>
      <c r="Z22" s="8">
        <f>VLOOKUP(A22:A57,[1]TDSheet!$A$6:$U$44,21,)</f>
        <v>8</v>
      </c>
      <c r="AA22" s="9">
        <f>VLOOKUP(A22:A57,[2]TDSheet!$A$6:$U$44,21,)</f>
        <v>10</v>
      </c>
      <c r="AB22" s="7">
        <f t="shared" si="6"/>
        <v>1.25</v>
      </c>
      <c r="AC22" s="10">
        <f>VLOOKUP(A22:A57,[2]TDSheet!$A$6:$T$44,20,)</f>
        <v>2</v>
      </c>
      <c r="AD22" s="8">
        <f>VLOOKUP(A22:A57,[1]TDSheet!$A$6:$X$43,24,)</f>
        <v>0</v>
      </c>
      <c r="AE22" s="9">
        <f>VLOOKUP(A22:A57,[2]TDSheet!$A$6:$X$44,24,)</f>
        <v>73</v>
      </c>
      <c r="AF22" s="7" t="e">
        <f t="shared" si="7"/>
        <v>#DIV/0!</v>
      </c>
      <c r="AG22" s="10">
        <f>VLOOKUP(A22:A57,[2]TDSheet!$A$6:$W$44,23,)</f>
        <v>13</v>
      </c>
      <c r="AH22" s="8">
        <f>VLOOKUP(A22:A57,[1]TDSheet!$A$6:$AA$43,27,)</f>
        <v>0</v>
      </c>
      <c r="AI22" s="9">
        <f>VLOOKUP(A22:A57,[2]TDSheet!$A$6:$AA$44,27,)</f>
        <v>6.6920000000000002</v>
      </c>
      <c r="AJ22" s="7" t="e">
        <f t="shared" si="8"/>
        <v>#DIV/0!</v>
      </c>
      <c r="AK22" s="10">
        <f>VLOOKUP(A22:A57,[2]TDSheet!$A$6:$Z$44,26,)</f>
        <v>7.1999999999999995E-2</v>
      </c>
      <c r="AL22" s="8">
        <f>VLOOKUP(A22:A57,[1]TDSheet!$A$6:$AD$43,30,)</f>
        <v>1</v>
      </c>
      <c r="AM22" s="9">
        <f>VLOOKUP(A22:A57,[2]TDSheet!$A$6:$AD$44,30,)</f>
        <v>23</v>
      </c>
      <c r="AN22" s="7">
        <f t="shared" si="9"/>
        <v>23</v>
      </c>
      <c r="AO22" s="10">
        <f>VLOOKUP(A22:A57,[2]TDSheet!$A$6:$AC$44,29,)</f>
        <v>11</v>
      </c>
      <c r="AP22" s="8">
        <f>VLOOKUP(A22:A57,[1]TDSheet!$A$6:$AG$43,33,)</f>
        <v>0</v>
      </c>
      <c r="AQ22" s="9">
        <f>VLOOKUP(A22:A57,[2]TDSheet!$A$6:$AG$44,33,)</f>
        <v>40</v>
      </c>
      <c r="AR22" s="7" t="e">
        <f t="shared" si="10"/>
        <v>#DIV/0!</v>
      </c>
      <c r="AS22" s="10">
        <f>VLOOKUP(A22:A57,[2]TDSheet!$A$6:$AF$44,32,)</f>
        <v>8</v>
      </c>
      <c r="AT22" s="8">
        <f>VLOOKUP(A22:A57,[1]TDSheet!$A$6:$AJ$43,36,)</f>
        <v>2.41</v>
      </c>
      <c r="AU22" s="9">
        <f>VLOOKUP(A22:A57,[2]TDSheet!$A$6:$AJ$44,36,)</f>
        <v>9.8680000000000003</v>
      </c>
      <c r="AV22" s="7">
        <f t="shared" si="11"/>
        <v>4.0946058091286304</v>
      </c>
      <c r="AW22" s="10">
        <f>VLOOKUP(A22:A57,[2]TDSheet!$A$6:$AI$44,35)</f>
        <v>1.514</v>
      </c>
      <c r="AX22" s="8">
        <f>VLOOKUP(A22:A57,[1]TDSheet!$A$6:$AM$43,39,)</f>
        <v>0.106</v>
      </c>
      <c r="AY22" s="29">
        <f>VLOOKUP(A22:A57,[2]TDSheet!$A$6:$AM$44,39,)</f>
        <v>0.56999999999999995</v>
      </c>
      <c r="AZ22" s="7">
        <f t="shared" si="12"/>
        <v>5.3773584905660377</v>
      </c>
      <c r="BA22" s="30">
        <f>VLOOKUP(A22:A57,[2]TDSheet!$A$6:$AL$44,38,)</f>
        <v>13.608000000000001</v>
      </c>
    </row>
    <row r="23" spans="1:53" ht="10.9" customHeight="1" x14ac:dyDescent="0.2">
      <c r="A23" s="2" t="s">
        <v>21</v>
      </c>
      <c r="B23" s="8">
        <f>VLOOKUP(A23:A58,[1]TDSheet!$A$6:$C$43,3,)</f>
        <v>19.265999999999998</v>
      </c>
      <c r="C23" s="9">
        <f>VLOOKUP(A23:A58,[2]TDSheet!$A$6:$C$44,3,)</f>
        <v>33.954000000000001</v>
      </c>
      <c r="D23" s="7">
        <f t="shared" si="0"/>
        <v>1.7623793210837748</v>
      </c>
      <c r="E23" s="10">
        <f>VLOOKUP(A23:A58,[2]TDSheet!$A$6:$B$44,2,)</f>
        <v>-4.8780000000000001</v>
      </c>
      <c r="F23" s="8">
        <f>VLOOKUP(A23:A58,[1]TDSheet!$A$6:$F$43,6,)</f>
        <v>1.462</v>
      </c>
      <c r="G23" s="9">
        <f>VLOOKUP(A23:A58,[2]TDSheet!$A$6:$F$44,6,)</f>
        <v>4.4420000000000002</v>
      </c>
      <c r="H23" s="7">
        <f t="shared" si="1"/>
        <v>3.0383036935704517</v>
      </c>
      <c r="I23" s="28">
        <f>VLOOKUP(A23:A58,[2]TDSheet!$A$6:$E$44,5,)</f>
        <v>2.972</v>
      </c>
      <c r="J23" s="8">
        <f>VLOOKUP(A23:A58,[1]TDSheet!$A$6:$I$43,9,)</f>
        <v>2</v>
      </c>
      <c r="K23" s="9">
        <f>VLOOKUP(A23:A58,[2]TDSheet!$A$6:$I$44,9,)</f>
        <v>7</v>
      </c>
      <c r="L23" s="7">
        <f t="shared" si="2"/>
        <v>3.5</v>
      </c>
      <c r="M23" s="10">
        <f>VLOOKUP(A23:A58,[2]TDSheet!$A$6:$H$44,8,)</f>
        <v>0</v>
      </c>
      <c r="N23" s="8">
        <f>VLOOKUP(A23:A58,[1]TDSheet!$A$6:$L$43,12,)</f>
        <v>1</v>
      </c>
      <c r="O23" s="9">
        <f>VLOOKUP(A23:A58,[2]TDSheet!$A$6:$L$44,12,)</f>
        <v>457</v>
      </c>
      <c r="P23" s="7">
        <f t="shared" si="3"/>
        <v>457</v>
      </c>
      <c r="Q23" s="10">
        <f>VLOOKUP(A23:A58,[2]TDSheet!$A$6:$K$44,11,)</f>
        <v>-10</v>
      </c>
      <c r="R23" s="8">
        <f>VLOOKUP(A23:A58,[1]TDSheet!$A$6:$O$43,15,)</f>
        <v>6</v>
      </c>
      <c r="S23" s="9">
        <f>VLOOKUP(A23:A58,[2]TDSheet!$A$6:$O$44,15,)</f>
        <v>61</v>
      </c>
      <c r="T23" s="7">
        <f t="shared" si="4"/>
        <v>10.166666666666666</v>
      </c>
      <c r="U23" s="10">
        <f>VLOOKUP(A23:A58,[2]TDSheet!$A$6:$N$44,14,)</f>
        <v>1753</v>
      </c>
      <c r="V23" s="8">
        <f>VLOOKUP(A23:A58,[1]TDSheet!$A$6:$R$43,18)</f>
        <v>2</v>
      </c>
      <c r="W23" s="9">
        <f>VLOOKUP(A23:A58,[2]TDSheet!$A$6:$R$44,18,)</f>
        <v>40</v>
      </c>
      <c r="X23" s="7">
        <f t="shared" si="5"/>
        <v>20</v>
      </c>
      <c r="Y23" s="10">
        <f>VLOOKUP(A23:A58,[2]TDSheet!$A$6:$Q$44,17,)</f>
        <v>15</v>
      </c>
      <c r="Z23" s="8">
        <f>VLOOKUP(A23:A58,[1]TDSheet!$A$6:$U$44,21,)</f>
        <v>2</v>
      </c>
      <c r="AA23" s="9">
        <f>VLOOKUP(A23:A58,[2]TDSheet!$A$6:$U$44,21,)</f>
        <v>126</v>
      </c>
      <c r="AB23" s="7">
        <f t="shared" si="6"/>
        <v>63</v>
      </c>
      <c r="AC23" s="10">
        <f>VLOOKUP(A23:A58,[2]TDSheet!$A$6:$T$44,20,)</f>
        <v>18</v>
      </c>
      <c r="AD23" s="8">
        <f>VLOOKUP(A23:A58,[1]TDSheet!$A$6:$X$43,24,)</f>
        <v>18</v>
      </c>
      <c r="AE23" s="9">
        <f>VLOOKUP(A23:A58,[2]TDSheet!$A$6:$X$44,24,)</f>
        <v>348</v>
      </c>
      <c r="AF23" s="7">
        <f t="shared" si="7"/>
        <v>19.333333333333332</v>
      </c>
      <c r="AG23" s="10">
        <f>VLOOKUP(A23:A58,[2]TDSheet!$A$6:$W$44,23,)</f>
        <v>-294</v>
      </c>
      <c r="AH23" s="8">
        <f>VLOOKUP(A23:A58,[1]TDSheet!$A$6:$AA$43,27,)</f>
        <v>1.026</v>
      </c>
      <c r="AI23" s="9">
        <f>VLOOKUP(A23:A58,[2]TDSheet!$A$6:$AA$44,27,)</f>
        <v>28.082000000000001</v>
      </c>
      <c r="AJ23" s="7">
        <f t="shared" si="8"/>
        <v>27.37037037037037</v>
      </c>
      <c r="AK23" s="10">
        <f>VLOOKUP(A23:A58,[2]TDSheet!$A$6:$Z$44,26,)</f>
        <v>-3.766</v>
      </c>
      <c r="AL23" s="8">
        <f>VLOOKUP(A23:A58,[1]TDSheet!$A$6:$AD$43,30,)</f>
        <v>4</v>
      </c>
      <c r="AM23" s="9">
        <f>VLOOKUP(A23:A58,[2]TDSheet!$A$6:$AD$44,30,)</f>
        <v>65</v>
      </c>
      <c r="AN23" s="7">
        <f t="shared" si="9"/>
        <v>16.25</v>
      </c>
      <c r="AO23" s="10">
        <f>VLOOKUP(A23:A58,[2]TDSheet!$A$6:$AC$44,29,)</f>
        <v>26</v>
      </c>
      <c r="AP23" s="8">
        <f>VLOOKUP(A23:A58,[1]TDSheet!$A$6:$AG$43,33,)</f>
        <v>10</v>
      </c>
      <c r="AQ23" s="9">
        <f>VLOOKUP(A23:A58,[2]TDSheet!$A$6:$AG$44,33,)</f>
        <v>54</v>
      </c>
      <c r="AR23" s="7">
        <f t="shared" si="10"/>
        <v>5.4</v>
      </c>
      <c r="AS23" s="10">
        <f>VLOOKUP(A23:A58,[2]TDSheet!$A$6:$AF$44,32,)</f>
        <v>0</v>
      </c>
      <c r="AT23" s="8">
        <f>VLOOKUP(A23:A58,[1]TDSheet!$A$6:$AJ$43,36,)</f>
        <v>17.826000000000001</v>
      </c>
      <c r="AU23" s="9">
        <f>VLOOKUP(A23:A58,[2]TDSheet!$A$6:$AJ$44,36,)</f>
        <v>70.27</v>
      </c>
      <c r="AV23" s="7">
        <f t="shared" si="11"/>
        <v>3.9419948389992143</v>
      </c>
      <c r="AW23" s="10">
        <f>VLOOKUP(A23:A58,[2]TDSheet!$A$6:$AI$44,35)</f>
        <v>-26.568000000000001</v>
      </c>
      <c r="AX23" s="8">
        <f>VLOOKUP(A23:A58,[1]TDSheet!$A$6:$AM$43,39,)</f>
        <v>0.43</v>
      </c>
      <c r="AY23" s="29">
        <f>VLOOKUP(A23:A58,[2]TDSheet!$A$6:$AM$44,39,)</f>
        <v>73.415999999999997</v>
      </c>
      <c r="AZ23" s="7">
        <f t="shared" si="12"/>
        <v>170.73488372093024</v>
      </c>
      <c r="BA23" s="30">
        <f>VLOOKUP(A23:A58,[2]TDSheet!$A$6:$AL$44,38,)</f>
        <v>31.821999999999999</v>
      </c>
    </row>
    <row r="24" spans="1:53" ht="10.9" customHeight="1" x14ac:dyDescent="0.2">
      <c r="A24" s="2" t="s">
        <v>22</v>
      </c>
      <c r="B24" s="8">
        <f>VLOOKUP(A24:A59,[1]TDSheet!$A$6:$C$43,3,)</f>
        <v>1.8440000000000001</v>
      </c>
      <c r="C24" s="9">
        <f>VLOOKUP(A24:A59,[2]TDSheet!$A$6:$C$44,3,)</f>
        <v>1.028</v>
      </c>
      <c r="D24" s="7">
        <f t="shared" si="0"/>
        <v>0.55748373101952275</v>
      </c>
      <c r="E24" s="10">
        <f>VLOOKUP(A24:A59,[2]TDSheet!$A$6:$B$44,2,)</f>
        <v>0.216</v>
      </c>
      <c r="F24" s="8">
        <f>VLOOKUP(A24:A59,[1]TDSheet!$A$6:$F$43,6,)</f>
        <v>0</v>
      </c>
      <c r="G24" s="9">
        <f>VLOOKUP(A24:A59,[2]TDSheet!$A$6:$F$44,6,)</f>
        <v>0</v>
      </c>
      <c r="H24" s="7" t="e">
        <f t="shared" si="1"/>
        <v>#DIV/0!</v>
      </c>
      <c r="I24" s="28">
        <f>VLOOKUP(A24:A59,[2]TDSheet!$A$6:$E$44,5,)</f>
        <v>0</v>
      </c>
      <c r="J24" s="8">
        <f>VLOOKUP(A24:A59,[1]TDSheet!$A$6:$I$43,9,)</f>
        <v>0</v>
      </c>
      <c r="K24" s="9">
        <f>VLOOKUP(A24:A59,[2]TDSheet!$A$6:$I$44,9,)</f>
        <v>28</v>
      </c>
      <c r="L24" s="7" t="e">
        <f t="shared" si="2"/>
        <v>#DIV/0!</v>
      </c>
      <c r="M24" s="10">
        <f>VLOOKUP(A24:A59,[2]TDSheet!$A$6:$H$44,8,)</f>
        <v>40</v>
      </c>
      <c r="N24" s="8">
        <f>VLOOKUP(A24:A59,[1]TDSheet!$A$6:$L$43,12,)</f>
        <v>23</v>
      </c>
      <c r="O24" s="9">
        <f>VLOOKUP(A24:A59,[2]TDSheet!$A$6:$L$44,12,)</f>
        <v>230</v>
      </c>
      <c r="P24" s="7">
        <f t="shared" si="3"/>
        <v>10</v>
      </c>
      <c r="Q24" s="10">
        <f>VLOOKUP(A24:A59,[2]TDSheet!$A$6:$K$44,11,)</f>
        <v>0</v>
      </c>
      <c r="R24" s="8">
        <f>VLOOKUP(A24:A59,[1]TDSheet!$A$6:$O$43,15,)</f>
        <v>7</v>
      </c>
      <c r="S24" s="9">
        <f>VLOOKUP(A24:A59,[2]TDSheet!$A$6:$O$44,15,)</f>
        <v>28</v>
      </c>
      <c r="T24" s="7">
        <f t="shared" si="4"/>
        <v>4</v>
      </c>
      <c r="U24" s="10">
        <f>VLOOKUP(A24:A59,[2]TDSheet!$A$6:$N$44,14,)</f>
        <v>92</v>
      </c>
      <c r="V24" s="8">
        <f>VLOOKUP(A24:A59,[1]TDSheet!$A$6:$R$43,18)</f>
        <v>0</v>
      </c>
      <c r="W24" s="9">
        <f>VLOOKUP(A24:A59,[2]TDSheet!$A$6:$R$44,18,)</f>
        <v>4</v>
      </c>
      <c r="X24" s="7" t="e">
        <f t="shared" si="5"/>
        <v>#DIV/0!</v>
      </c>
      <c r="Y24" s="10">
        <f>VLOOKUP(A24:A59,[2]TDSheet!$A$6:$Q$44,17,)</f>
        <v>28</v>
      </c>
      <c r="Z24" s="8">
        <f>VLOOKUP(A24:A59,[1]TDSheet!$A$6:$U$44,21,)</f>
        <v>11</v>
      </c>
      <c r="AA24" s="9">
        <f>VLOOKUP(A24:A59,[2]TDSheet!$A$6:$U$44,21,)</f>
        <v>39</v>
      </c>
      <c r="AB24" s="7">
        <f t="shared" si="6"/>
        <v>3.5454545454545454</v>
      </c>
      <c r="AC24" s="10">
        <f>VLOOKUP(A24:A59,[2]TDSheet!$A$6:$T$44,20,)</f>
        <v>0</v>
      </c>
      <c r="AD24" s="8">
        <f>VLOOKUP(A24:A59,[1]TDSheet!$A$6:$X$43,24,)</f>
        <v>0</v>
      </c>
      <c r="AE24" s="9">
        <f>VLOOKUP(A24:A59,[2]TDSheet!$A$6:$X$44,24,)</f>
        <v>31</v>
      </c>
      <c r="AF24" s="7" t="e">
        <f t="shared" si="7"/>
        <v>#DIV/0!</v>
      </c>
      <c r="AG24" s="10">
        <f>VLOOKUP(A24:A59,[2]TDSheet!$A$6:$W$44,23,)</f>
        <v>0</v>
      </c>
      <c r="AH24" s="8">
        <f>VLOOKUP(A24:A59,[1]TDSheet!$A$6:$AA$43,27,)</f>
        <v>0</v>
      </c>
      <c r="AI24" s="9">
        <f>VLOOKUP(A24:A59,[2]TDSheet!$A$6:$AA$44,27,)</f>
        <v>1.984</v>
      </c>
      <c r="AJ24" s="7" t="e">
        <f t="shared" si="8"/>
        <v>#DIV/0!</v>
      </c>
      <c r="AK24" s="10">
        <f>VLOOKUP(A24:A59,[2]TDSheet!$A$6:$Z$44,26,)</f>
        <v>-0.01</v>
      </c>
      <c r="AL24" s="8">
        <f>VLOOKUP(A24:A59,[1]TDSheet!$A$6:$AD$43,30,)</f>
        <v>2</v>
      </c>
      <c r="AM24" s="9">
        <f>VLOOKUP(A24:A59,[2]TDSheet!$A$6:$AD$44,30,)</f>
        <v>19</v>
      </c>
      <c r="AN24" s="7">
        <f t="shared" si="9"/>
        <v>9.5</v>
      </c>
      <c r="AO24" s="10">
        <f>VLOOKUP(A24:A59,[2]TDSheet!$A$6:$AC$44,29,)</f>
        <v>24</v>
      </c>
      <c r="AP24" s="8">
        <f>VLOOKUP(A24:A59,[1]TDSheet!$A$6:$AG$43,33,)</f>
        <v>6</v>
      </c>
      <c r="AQ24" s="9">
        <f>VLOOKUP(A24:A59,[2]TDSheet!$A$6:$AG$44,33,)</f>
        <v>26</v>
      </c>
      <c r="AR24" s="7">
        <f t="shared" si="10"/>
        <v>4.333333333333333</v>
      </c>
      <c r="AS24" s="10">
        <f>VLOOKUP(A24:A59,[2]TDSheet!$A$6:$AF$44,32,)</f>
        <v>29</v>
      </c>
      <c r="AT24" s="8">
        <f>VLOOKUP(A24:A59,[1]TDSheet!$A$6:$AJ$43,36,)</f>
        <v>1.6719999999999999</v>
      </c>
      <c r="AU24" s="9">
        <f>VLOOKUP(A24:A59,[2]TDSheet!$A$6:$AJ$44,36,)</f>
        <v>6.4779999999999998</v>
      </c>
      <c r="AV24" s="7">
        <f t="shared" si="11"/>
        <v>3.8744019138755981</v>
      </c>
      <c r="AW24" s="10">
        <f>VLOOKUP(A24:A59,[2]TDSheet!$A$6:$AI$44,35)</f>
        <v>0.108</v>
      </c>
      <c r="AX24" s="8">
        <f>VLOOKUP(A24:A59,[1]TDSheet!$A$6:$AM$43,39,)</f>
        <v>0.35199999999999998</v>
      </c>
      <c r="AY24" s="29">
        <f>VLOOKUP(A24:A59,[2]TDSheet!$A$6:$AM$44,39,)</f>
        <v>21.48</v>
      </c>
      <c r="AZ24" s="7">
        <f t="shared" si="12"/>
        <v>61.02272727272728</v>
      </c>
      <c r="BA24" s="30">
        <f>VLOOKUP(A24:A59,[2]TDSheet!$A$6:$AL$44,38,)</f>
        <v>9.4250000000000007</v>
      </c>
    </row>
    <row r="25" spans="1:53" ht="10.9" customHeight="1" x14ac:dyDescent="0.2">
      <c r="A25" s="2" t="s">
        <v>23</v>
      </c>
      <c r="B25" s="8">
        <f>VLOOKUP(A25:A60,[1]TDSheet!$A$6:$C$43,3,)</f>
        <v>1.5820000000000001</v>
      </c>
      <c r="C25" s="9">
        <f>VLOOKUP(A25:A60,[2]TDSheet!$A$6:$C$44,3,)</f>
        <v>1.204</v>
      </c>
      <c r="D25" s="7">
        <f t="shared" si="0"/>
        <v>0.76106194690265483</v>
      </c>
      <c r="E25" s="10">
        <f>VLOOKUP(A25:A60,[2]TDSheet!$A$6:$B$44,2,)</f>
        <v>4.1399999999999997</v>
      </c>
      <c r="F25" s="8">
        <f>VLOOKUP(A25:A60,[1]TDSheet!$A$6:$F$43,6,)</f>
        <v>3.238</v>
      </c>
      <c r="G25" s="9">
        <f>VLOOKUP(A25:A60,[2]TDSheet!$A$6:$F$44,6,)</f>
        <v>1.792</v>
      </c>
      <c r="H25" s="7">
        <f t="shared" si="1"/>
        <v>0.5534280420012353</v>
      </c>
      <c r="I25" s="28">
        <f>VLOOKUP(A25:A60,[2]TDSheet!$A$6:$E$44,5,)</f>
        <v>0</v>
      </c>
      <c r="J25" s="8">
        <f>VLOOKUP(A25:A60,[1]TDSheet!$A$6:$I$43,9,)</f>
        <v>1</v>
      </c>
      <c r="K25" s="9">
        <f>VLOOKUP(A25:A60,[2]TDSheet!$A$6:$I$44,9,)</f>
        <v>10</v>
      </c>
      <c r="L25" s="7">
        <f t="shared" si="2"/>
        <v>10</v>
      </c>
      <c r="M25" s="10">
        <f>VLOOKUP(A25:A60,[2]TDSheet!$A$6:$H$44,8,)</f>
        <v>0</v>
      </c>
      <c r="N25" s="8">
        <f>VLOOKUP(A25:A60,[1]TDSheet!$A$6:$L$43,12,)</f>
        <v>0</v>
      </c>
      <c r="O25" s="9">
        <f>VLOOKUP(A25:A60,[2]TDSheet!$A$6:$L$44,12,)</f>
        <v>236</v>
      </c>
      <c r="P25" s="7" t="e">
        <f t="shared" si="3"/>
        <v>#DIV/0!</v>
      </c>
      <c r="Q25" s="10">
        <f>VLOOKUP(A25:A60,[2]TDSheet!$A$6:$K$44,11,)</f>
        <v>0</v>
      </c>
      <c r="R25" s="8">
        <f>VLOOKUP(A25:A60,[1]TDSheet!$A$6:$O$43,15,)</f>
        <v>0</v>
      </c>
      <c r="S25" s="9">
        <f>VLOOKUP(A25:A60,[2]TDSheet!$A$6:$O$44,15,)</f>
        <v>32</v>
      </c>
      <c r="T25" s="7" t="e">
        <f t="shared" si="4"/>
        <v>#DIV/0!</v>
      </c>
      <c r="U25" s="10">
        <f>VLOOKUP(A25:A60,[2]TDSheet!$A$6:$N$44,14,)</f>
        <v>63</v>
      </c>
      <c r="V25" s="8">
        <f>VLOOKUP(A25:A60,[1]TDSheet!$A$6:$R$43,18)</f>
        <v>2</v>
      </c>
      <c r="W25" s="9">
        <f>VLOOKUP(A25:A60,[2]TDSheet!$A$6:$R$44,18,)</f>
        <v>30</v>
      </c>
      <c r="X25" s="7">
        <f t="shared" si="5"/>
        <v>15</v>
      </c>
      <c r="Y25" s="10">
        <f>VLOOKUP(A25:A60,[2]TDSheet!$A$6:$Q$44,17,)</f>
        <v>12</v>
      </c>
      <c r="Z25" s="8">
        <f>VLOOKUP(A25:A60,[1]TDSheet!$A$6:$U$44,21,)</f>
        <v>8</v>
      </c>
      <c r="AA25" s="9">
        <f>VLOOKUP(A25:A60,[2]TDSheet!$A$6:$U$44,21,)</f>
        <v>16</v>
      </c>
      <c r="AB25" s="7">
        <f t="shared" si="6"/>
        <v>2</v>
      </c>
      <c r="AC25" s="10">
        <f>VLOOKUP(A25:A60,[2]TDSheet!$A$6:$T$44,20,)</f>
        <v>24</v>
      </c>
      <c r="AD25" s="8">
        <f>VLOOKUP(A25:A60,[1]TDSheet!$A$6:$X$43,24,)</f>
        <v>0</v>
      </c>
      <c r="AE25" s="9">
        <f>VLOOKUP(A25:A60,[2]TDSheet!$A$6:$X$44,24,)</f>
        <v>20</v>
      </c>
      <c r="AF25" s="7" t="e">
        <f t="shared" si="7"/>
        <v>#DIV/0!</v>
      </c>
      <c r="AG25" s="10">
        <f>VLOOKUP(A25:A60,[2]TDSheet!$A$6:$W$44,23,)</f>
        <v>4</v>
      </c>
      <c r="AH25" s="8">
        <f>VLOOKUP(A25:A60,[1]TDSheet!$A$6:$AA$43,27,)</f>
        <v>0</v>
      </c>
      <c r="AI25" s="9">
        <f>VLOOKUP(A25:A60,[2]TDSheet!$A$6:$AA$44,27,)</f>
        <v>1.998</v>
      </c>
      <c r="AJ25" s="7" t="e">
        <f t="shared" si="8"/>
        <v>#DIV/0!</v>
      </c>
      <c r="AK25" s="10">
        <f>VLOOKUP(A25:A60,[2]TDSheet!$A$6:$Z$44,26,)</f>
        <v>0</v>
      </c>
      <c r="AL25" s="8">
        <f>VLOOKUP(A25:A60,[1]TDSheet!$A$6:$AD$43,30,)</f>
        <v>3</v>
      </c>
      <c r="AM25" s="9">
        <f>VLOOKUP(A25:A60,[2]TDSheet!$A$6:$AD$44,30,)</f>
        <v>29</v>
      </c>
      <c r="AN25" s="7">
        <f t="shared" si="9"/>
        <v>9.6666666666666661</v>
      </c>
      <c r="AO25" s="10">
        <f>VLOOKUP(A25:A60,[2]TDSheet!$A$6:$AC$44,29,)</f>
        <v>6</v>
      </c>
      <c r="AP25" s="8">
        <f>VLOOKUP(A25:A60,[1]TDSheet!$A$6:$AG$43,33,)</f>
        <v>5</v>
      </c>
      <c r="AQ25" s="9">
        <f>VLOOKUP(A25:A60,[2]TDSheet!$A$6:$AG$44,33,)</f>
        <v>34</v>
      </c>
      <c r="AR25" s="7">
        <f t="shared" si="10"/>
        <v>6.8</v>
      </c>
      <c r="AS25" s="10">
        <f>VLOOKUP(A25:A60,[2]TDSheet!$A$6:$AF$44,32,)</f>
        <v>9</v>
      </c>
      <c r="AT25" s="8">
        <f>VLOOKUP(A25:A60,[1]TDSheet!$A$6:$AJ$43,36,)</f>
        <v>4.2119999999999997</v>
      </c>
      <c r="AU25" s="9">
        <f>VLOOKUP(A25:A60,[2]TDSheet!$A$6:$AJ$44,36,)</f>
        <v>10.555999999999999</v>
      </c>
      <c r="AV25" s="7">
        <f t="shared" si="11"/>
        <v>2.5061728395061729</v>
      </c>
      <c r="AW25" s="10">
        <f>VLOOKUP(A25:A60,[2]TDSheet!$A$6:$AI$44,35)</f>
        <v>-9.1999999999999998E-2</v>
      </c>
      <c r="AX25" s="8">
        <f>VLOOKUP(A25:A60,[1]TDSheet!$A$6:$AM$43,39,)</f>
        <v>0.53200000000000003</v>
      </c>
      <c r="AY25" s="29">
        <f>VLOOKUP(A25:A60,[2]TDSheet!$A$6:$AM$44,39,)</f>
        <v>13.314</v>
      </c>
      <c r="AZ25" s="7">
        <f t="shared" si="12"/>
        <v>25.026315789473681</v>
      </c>
      <c r="BA25" s="30">
        <f>VLOOKUP(A25:A60,[2]TDSheet!$A$6:$AL$44,38,)</f>
        <v>24.672000000000001</v>
      </c>
    </row>
    <row r="26" spans="1:53" ht="10.9" customHeight="1" x14ac:dyDescent="0.2">
      <c r="A26" s="2" t="s">
        <v>24</v>
      </c>
      <c r="B26" s="8">
        <f>VLOOKUP(A26:A61,[1]TDSheet!$A$6:$C$43,3,)</f>
        <v>0.55400000000000005</v>
      </c>
      <c r="C26" s="9">
        <f>VLOOKUP(A26:A61,[2]TDSheet!$A$6:$C$44,3,)</f>
        <v>1.248</v>
      </c>
      <c r="D26" s="7">
        <f t="shared" si="0"/>
        <v>2.2527075812274364</v>
      </c>
      <c r="E26" s="10">
        <f>VLOOKUP(A26:A61,[2]TDSheet!$A$6:$B$44,2,)</f>
        <v>0.64600000000000002</v>
      </c>
      <c r="F26" s="8">
        <f>VLOOKUP(A26:A61,[1]TDSheet!$A$6:$F$43,6,)</f>
        <v>0</v>
      </c>
      <c r="G26" s="9">
        <f>VLOOKUP(A26:A61,[2]TDSheet!$A$6:$F$44,6,)</f>
        <v>0</v>
      </c>
      <c r="H26" s="7" t="e">
        <f t="shared" si="1"/>
        <v>#DIV/0!</v>
      </c>
      <c r="I26" s="28">
        <f>VLOOKUP(A26:A61,[2]TDSheet!$A$6:$E$44,5,)</f>
        <v>0</v>
      </c>
      <c r="J26" s="8">
        <f>VLOOKUP(A26:A61,[1]TDSheet!$A$6:$I$43,9,)</f>
        <v>1</v>
      </c>
      <c r="K26" s="9">
        <f>VLOOKUP(A26:A61,[2]TDSheet!$A$6:$I$44,9,)</f>
        <v>14</v>
      </c>
      <c r="L26" s="7">
        <f t="shared" si="2"/>
        <v>14</v>
      </c>
      <c r="M26" s="10">
        <f>VLOOKUP(A26:A61,[2]TDSheet!$A$6:$H$44,8,)</f>
        <v>6</v>
      </c>
      <c r="N26" s="8">
        <f>VLOOKUP(A26:A61,[1]TDSheet!$A$6:$L$43,12,)</f>
        <v>3</v>
      </c>
      <c r="O26" s="9">
        <f>VLOOKUP(A26:A61,[2]TDSheet!$A$6:$L$44,12,)</f>
        <v>90</v>
      </c>
      <c r="P26" s="7">
        <f t="shared" si="3"/>
        <v>30</v>
      </c>
      <c r="Q26" s="10">
        <f>VLOOKUP(A26:A61,[2]TDSheet!$A$6:$K$44,11,)</f>
        <v>19</v>
      </c>
      <c r="R26" s="8">
        <f>VLOOKUP(A26:A61,[1]TDSheet!$A$6:$O$43,15,)</f>
        <v>4</v>
      </c>
      <c r="S26" s="9">
        <f>VLOOKUP(A26:A61,[2]TDSheet!$A$6:$O$44,15,)</f>
        <v>10</v>
      </c>
      <c r="T26" s="7">
        <f t="shared" si="4"/>
        <v>2.5</v>
      </c>
      <c r="U26" s="10">
        <f>VLOOKUP(A26:A61,[2]TDSheet!$A$6:$N$44,14,)</f>
        <v>52</v>
      </c>
      <c r="V26" s="8">
        <f>VLOOKUP(A26:A61,[1]TDSheet!$A$6:$R$43,18)</f>
        <v>3</v>
      </c>
      <c r="W26" s="9">
        <f>VLOOKUP(A26:A61,[2]TDSheet!$A$6:$R$44,18,)</f>
        <v>10</v>
      </c>
      <c r="X26" s="7">
        <f t="shared" si="5"/>
        <v>3.3333333333333335</v>
      </c>
      <c r="Y26" s="10">
        <f>VLOOKUP(A26:A61,[2]TDSheet!$A$6:$Q$44,17,)</f>
        <v>10</v>
      </c>
      <c r="Z26" s="8">
        <f>VLOOKUP(A26:A61,[1]TDSheet!$A$6:$U$44,21,)</f>
        <v>4</v>
      </c>
      <c r="AA26" s="9">
        <f>VLOOKUP(A26:A61,[2]TDSheet!$A$6:$U$44,21,)</f>
        <v>11</v>
      </c>
      <c r="AB26" s="7">
        <f t="shared" si="6"/>
        <v>2.75</v>
      </c>
      <c r="AC26" s="10">
        <f>VLOOKUP(A26:A61,[2]TDSheet!$A$6:$T$44,20,)</f>
        <v>9</v>
      </c>
      <c r="AD26" s="8">
        <f>VLOOKUP(A26:A61,[1]TDSheet!$A$6:$X$43,24,)</f>
        <v>0</v>
      </c>
      <c r="AE26" s="9">
        <f>VLOOKUP(A26:A61,[2]TDSheet!$A$6:$X$44,24,)</f>
        <v>19</v>
      </c>
      <c r="AF26" s="7" t="e">
        <f t="shared" si="7"/>
        <v>#DIV/0!</v>
      </c>
      <c r="AG26" s="10">
        <f>VLOOKUP(A26:A61,[2]TDSheet!$A$6:$W$44,23,)</f>
        <v>9</v>
      </c>
      <c r="AH26" s="8">
        <f>VLOOKUP(A26:A61,[1]TDSheet!$A$6:$AA$43,27,)</f>
        <v>0</v>
      </c>
      <c r="AI26" s="9">
        <f>VLOOKUP(A26:A61,[2]TDSheet!$A$6:$AA$44,27,)</f>
        <v>0</v>
      </c>
      <c r="AJ26" s="7" t="e">
        <f t="shared" si="8"/>
        <v>#DIV/0!</v>
      </c>
      <c r="AK26" s="10">
        <f>VLOOKUP(A26:A61,[2]TDSheet!$A$6:$Z$44,26,)</f>
        <v>0.39200000000000002</v>
      </c>
      <c r="AL26" s="8">
        <f>VLOOKUP(A26:A61,[1]TDSheet!$A$6:$AD$43,30,)</f>
        <v>2</v>
      </c>
      <c r="AM26" s="9">
        <f>VLOOKUP(A26:A61,[2]TDSheet!$A$6:$AD$44,30,)</f>
        <v>6</v>
      </c>
      <c r="AN26" s="7">
        <f t="shared" si="9"/>
        <v>3</v>
      </c>
      <c r="AO26" s="10">
        <f>VLOOKUP(A26:A61,[2]TDSheet!$A$6:$AC$44,29,)</f>
        <v>30</v>
      </c>
      <c r="AP26" s="8">
        <f>VLOOKUP(A26:A61,[1]TDSheet!$A$6:$AG$43,33,)</f>
        <v>2</v>
      </c>
      <c r="AQ26" s="9">
        <f>VLOOKUP(A26:A61,[2]TDSheet!$A$6:$AG$44,33,)</f>
        <v>0</v>
      </c>
      <c r="AR26" s="7">
        <f t="shared" si="10"/>
        <v>0</v>
      </c>
      <c r="AS26" s="10">
        <f>VLOOKUP(A26:A61,[2]TDSheet!$A$6:$AF$44,32,)</f>
        <v>0</v>
      </c>
      <c r="AT26" s="8">
        <f>VLOOKUP(A26:A61,[1]TDSheet!$A$6:$AJ$43,36,)</f>
        <v>2.1779999999999999</v>
      </c>
      <c r="AU26" s="9">
        <f>VLOOKUP(A26:A61,[2]TDSheet!$A$6:$AJ$44,36,)</f>
        <v>5.0839999999999996</v>
      </c>
      <c r="AV26" s="7">
        <f t="shared" si="11"/>
        <v>2.3342516069788797</v>
      </c>
      <c r="AW26" s="10">
        <f>VLOOKUP(A26:A61,[2]TDSheet!$A$6:$AI$44,35)</f>
        <v>4.0000000000000001E-3</v>
      </c>
      <c r="AX26" s="8">
        <f>VLOOKUP(A26:A61,[1]TDSheet!$A$6:$AM$43,39,)</f>
        <v>7.0000000000000007E-2</v>
      </c>
      <c r="AY26" s="29">
        <f>VLOOKUP(A26:A61,[2]TDSheet!$A$6:$AM$44,39,)</f>
        <v>1.27</v>
      </c>
      <c r="AZ26" s="7">
        <f t="shared" si="12"/>
        <v>18.142857142857142</v>
      </c>
      <c r="BA26" s="30">
        <f>VLOOKUP(A26:A61,[2]TDSheet!$A$6:$AL$44,38,)</f>
        <v>15.151</v>
      </c>
    </row>
    <row r="27" spans="1:53" ht="10.9" customHeight="1" x14ac:dyDescent="0.2">
      <c r="A27" s="2" t="s">
        <v>25</v>
      </c>
      <c r="B27" s="8">
        <f>VLOOKUP(A27:A62,[1]TDSheet!$A$6:$C$43,3,)</f>
        <v>1.728</v>
      </c>
      <c r="C27" s="9">
        <f>VLOOKUP(A27:A62,[2]TDSheet!$A$6:$C$44,3,)</f>
        <v>3.3559999999999999</v>
      </c>
      <c r="D27" s="7">
        <f t="shared" si="0"/>
        <v>1.9421296296296295</v>
      </c>
      <c r="E27" s="10">
        <f>VLOOKUP(A27:A62,[2]TDSheet!$A$6:$B$44,2,)</f>
        <v>-4.0000000000000001E-3</v>
      </c>
      <c r="F27" s="8">
        <f>VLOOKUP(A27:A62,[1]TDSheet!$A$6:$F$43,6,)</f>
        <v>0</v>
      </c>
      <c r="G27" s="9">
        <f>VLOOKUP(A27:A62,[2]TDSheet!$A$6:$F$44,6,)</f>
        <v>2.4860000000000002</v>
      </c>
      <c r="H27" s="7" t="e">
        <f t="shared" si="1"/>
        <v>#DIV/0!</v>
      </c>
      <c r="I27" s="28">
        <f>VLOOKUP(A27:A62,[2]TDSheet!$A$6:$E$44,5,)</f>
        <v>0</v>
      </c>
      <c r="J27" s="8">
        <f>VLOOKUP(A27:A62,[1]TDSheet!$A$6:$I$43,9,)</f>
        <v>2</v>
      </c>
      <c r="K27" s="9">
        <f>VLOOKUP(A27:A62,[2]TDSheet!$A$6:$I$44,9,)</f>
        <v>31</v>
      </c>
      <c r="L27" s="7">
        <f t="shared" si="2"/>
        <v>15.5</v>
      </c>
      <c r="M27" s="10">
        <f>VLOOKUP(A27:A62,[2]TDSheet!$A$6:$H$44,8,)</f>
        <v>56</v>
      </c>
      <c r="N27" s="8">
        <f>VLOOKUP(A27:A62,[1]TDSheet!$A$6:$L$43,12,)</f>
        <v>1</v>
      </c>
      <c r="O27" s="9">
        <f>VLOOKUP(A27:A62,[2]TDSheet!$A$6:$L$44,12,)</f>
        <v>97</v>
      </c>
      <c r="P27" s="7">
        <f t="shared" si="3"/>
        <v>97</v>
      </c>
      <c r="Q27" s="10">
        <f>VLOOKUP(A27:A62,[2]TDSheet!$A$6:$K$44,11,)</f>
        <v>0</v>
      </c>
      <c r="R27" s="8">
        <f>VLOOKUP(A27:A62,[1]TDSheet!$A$6:$O$43,15,)</f>
        <v>2</v>
      </c>
      <c r="S27" s="9">
        <f>VLOOKUP(A27:A62,[2]TDSheet!$A$6:$O$44,15,)</f>
        <v>28</v>
      </c>
      <c r="T27" s="7">
        <f t="shared" si="4"/>
        <v>14</v>
      </c>
      <c r="U27" s="10">
        <f>VLOOKUP(A27:A62,[2]TDSheet!$A$6:$N$44,14,)</f>
        <v>61</v>
      </c>
      <c r="V27" s="8">
        <f>VLOOKUP(A27:A62,[1]TDSheet!$A$6:$R$43,18)</f>
        <v>1</v>
      </c>
      <c r="W27" s="9">
        <f>VLOOKUP(A27:A62,[2]TDSheet!$A$6:$R$44,18,)</f>
        <v>17</v>
      </c>
      <c r="X27" s="7">
        <f t="shared" si="5"/>
        <v>17</v>
      </c>
      <c r="Y27" s="10">
        <f>VLOOKUP(A27:A62,[2]TDSheet!$A$6:$Q$44,17,)</f>
        <v>15</v>
      </c>
      <c r="Z27" s="8">
        <f>VLOOKUP(A27:A62,[1]TDSheet!$A$6:$U$44,21,)</f>
        <v>7</v>
      </c>
      <c r="AA27" s="9">
        <f>VLOOKUP(A27:A62,[2]TDSheet!$A$6:$U$44,21,)</f>
        <v>14</v>
      </c>
      <c r="AB27" s="7">
        <f t="shared" si="6"/>
        <v>2</v>
      </c>
      <c r="AC27" s="10">
        <f>VLOOKUP(A27:A62,[2]TDSheet!$A$6:$T$44,20,)</f>
        <v>13</v>
      </c>
      <c r="AD27" s="8">
        <f>VLOOKUP(A27:A62,[1]TDSheet!$A$6:$X$43,24,)</f>
        <v>7</v>
      </c>
      <c r="AE27" s="9">
        <f>VLOOKUP(A27:A62,[2]TDSheet!$A$6:$X$44,24,)</f>
        <v>58</v>
      </c>
      <c r="AF27" s="7">
        <f t="shared" si="7"/>
        <v>8.2857142857142865</v>
      </c>
      <c r="AG27" s="10">
        <f>VLOOKUP(A27:A62,[2]TDSheet!$A$6:$W$44,23,)</f>
        <v>0</v>
      </c>
      <c r="AH27" s="8">
        <f>VLOOKUP(A27:A62,[1]TDSheet!$A$6:$AA$43,27,)</f>
        <v>0</v>
      </c>
      <c r="AI27" s="9">
        <f>VLOOKUP(A27:A62,[2]TDSheet!$A$6:$AA$44,27,)</f>
        <v>2.032</v>
      </c>
      <c r="AJ27" s="7" t="e">
        <f t="shared" si="8"/>
        <v>#DIV/0!</v>
      </c>
      <c r="AK27" s="10">
        <f>VLOOKUP(A27:A62,[2]TDSheet!$A$6:$Z$44,26,)</f>
        <v>0</v>
      </c>
      <c r="AL27" s="8">
        <f>VLOOKUP(A27:A62,[1]TDSheet!$A$6:$AD$43,30,)</f>
        <v>3</v>
      </c>
      <c r="AM27" s="9">
        <f>VLOOKUP(A27:A62,[2]TDSheet!$A$6:$AD$44,30,)</f>
        <v>15</v>
      </c>
      <c r="AN27" s="7">
        <f t="shared" si="9"/>
        <v>5</v>
      </c>
      <c r="AO27" s="10">
        <f>VLOOKUP(A27:A62,[2]TDSheet!$A$6:$AC$44,29,)</f>
        <v>20</v>
      </c>
      <c r="AP27" s="8">
        <f>VLOOKUP(A27:A62,[1]TDSheet!$A$6:$AG$43,33,)</f>
        <v>6</v>
      </c>
      <c r="AQ27" s="9">
        <f>VLOOKUP(A27:A62,[2]TDSheet!$A$6:$AG$44,33,)</f>
        <v>27</v>
      </c>
      <c r="AR27" s="7">
        <f t="shared" si="10"/>
        <v>4.5</v>
      </c>
      <c r="AS27" s="10">
        <f>VLOOKUP(A27:A62,[2]TDSheet!$A$6:$AF$44,32,)</f>
        <v>12</v>
      </c>
      <c r="AT27" s="8">
        <f>VLOOKUP(A27:A62,[1]TDSheet!$A$6:$AJ$43,36,)</f>
        <v>2.5419999999999998</v>
      </c>
      <c r="AU27" s="9">
        <f>VLOOKUP(A27:A62,[2]TDSheet!$A$6:$AJ$44,36,)</f>
        <v>10.85</v>
      </c>
      <c r="AV27" s="7">
        <f t="shared" si="11"/>
        <v>4.2682926829268295</v>
      </c>
      <c r="AW27" s="10">
        <f>VLOOKUP(A27:A62,[2]TDSheet!$A$6:$AI$44,35)</f>
        <v>2E-3</v>
      </c>
      <c r="AX27" s="8">
        <f>VLOOKUP(A27:A62,[1]TDSheet!$A$6:$AM$43,39,)</f>
        <v>0.45800000000000002</v>
      </c>
      <c r="AY27" s="29">
        <f>VLOOKUP(A27:A62,[2]TDSheet!$A$6:$AM$44,39,)</f>
        <v>13.608000000000001</v>
      </c>
      <c r="AZ27" s="7">
        <f t="shared" si="12"/>
        <v>29.7117903930131</v>
      </c>
      <c r="BA27" s="30">
        <f>VLOOKUP(A27:A62,[2]TDSheet!$A$6:$AL$44,38,)</f>
        <v>7.6340000000000003</v>
      </c>
    </row>
    <row r="28" spans="1:53" ht="10.9" customHeight="1" x14ac:dyDescent="0.2">
      <c r="A28" s="2" t="s">
        <v>26</v>
      </c>
      <c r="B28" s="8">
        <f>VLOOKUP(A28:A63,[1]TDSheet!$A$6:$C$43,3,)</f>
        <v>0.86399999999999999</v>
      </c>
      <c r="C28" s="9">
        <f>VLOOKUP(A28:A63,[2]TDSheet!$A$6:$C$44,3,)</f>
        <v>1.6839999999999999</v>
      </c>
      <c r="D28" s="7">
        <f t="shared" si="0"/>
        <v>1.949074074074074</v>
      </c>
      <c r="E28" s="10">
        <f>VLOOKUP(A28:A63,[2]TDSheet!$A$6:$B$44,2,)</f>
        <v>0</v>
      </c>
      <c r="F28" s="8">
        <f>VLOOKUP(A28:A63,[1]TDSheet!$A$6:$F$43,6,)</f>
        <v>0</v>
      </c>
      <c r="G28" s="9">
        <f>VLOOKUP(A28:A63,[2]TDSheet!$A$6:$F$44,6,)</f>
        <v>0.36799999999999999</v>
      </c>
      <c r="H28" s="7" t="e">
        <f t="shared" si="1"/>
        <v>#DIV/0!</v>
      </c>
      <c r="I28" s="28">
        <f>VLOOKUP(A28:A63,[2]TDSheet!$A$6:$E$44,5,)</f>
        <v>0.372</v>
      </c>
      <c r="J28" s="8">
        <f>VLOOKUP(A28:A63,[1]TDSheet!$A$6:$I$43,9,)</f>
        <v>0</v>
      </c>
      <c r="K28" s="9">
        <f>VLOOKUP(A28:A63,[2]TDSheet!$A$6:$I$44,9,)</f>
        <v>11</v>
      </c>
      <c r="L28" s="7" t="e">
        <f t="shared" si="2"/>
        <v>#DIV/0!</v>
      </c>
      <c r="M28" s="10">
        <f>VLOOKUP(A28:A63,[2]TDSheet!$A$6:$H$44,8,)</f>
        <v>3</v>
      </c>
      <c r="N28" s="8">
        <f>VLOOKUP(A28:A63,[1]TDSheet!$A$6:$L$43,12,)</f>
        <v>0</v>
      </c>
      <c r="O28" s="9">
        <f>VLOOKUP(A28:A63,[2]TDSheet!$A$6:$L$44,12,)</f>
        <v>19</v>
      </c>
      <c r="P28" s="7" t="e">
        <f t="shared" si="3"/>
        <v>#DIV/0!</v>
      </c>
      <c r="Q28" s="10">
        <f>VLOOKUP(A28:A63,[2]TDSheet!$A$6:$K$44,11,)</f>
        <v>24</v>
      </c>
      <c r="R28" s="8">
        <f>VLOOKUP(A28:A63,[1]TDSheet!$A$6:$O$43,15,)</f>
        <v>0</v>
      </c>
      <c r="S28" s="9">
        <f>VLOOKUP(A28:A63,[2]TDSheet!$A$6:$O$44,15,)</f>
        <v>5</v>
      </c>
      <c r="T28" s="7" t="e">
        <f t="shared" si="4"/>
        <v>#DIV/0!</v>
      </c>
      <c r="U28" s="10">
        <f>VLOOKUP(A28:A63,[2]TDSheet!$A$6:$N$44,14,)</f>
        <v>62</v>
      </c>
      <c r="V28" s="8">
        <f>VLOOKUP(A28:A63,[1]TDSheet!$A$6:$R$43,18)</f>
        <v>0</v>
      </c>
      <c r="W28" s="9">
        <f>VLOOKUP(A28:A63,[2]TDSheet!$A$6:$R$44,18,)</f>
        <v>6</v>
      </c>
      <c r="X28" s="7" t="e">
        <f t="shared" si="5"/>
        <v>#DIV/0!</v>
      </c>
      <c r="Y28" s="10">
        <f>VLOOKUP(A28:A63,[2]TDSheet!$A$6:$Q$44,17,)</f>
        <v>15</v>
      </c>
      <c r="Z28" s="8">
        <f>VLOOKUP(A28:A63,[1]TDSheet!$A$6:$U$44,21,)</f>
        <v>0</v>
      </c>
      <c r="AA28" s="9">
        <f>VLOOKUP(A28:A63,[2]TDSheet!$A$6:$U$44,21,)</f>
        <v>0</v>
      </c>
      <c r="AB28" s="7" t="e">
        <f t="shared" si="6"/>
        <v>#DIV/0!</v>
      </c>
      <c r="AC28" s="10">
        <f>VLOOKUP(A28:A63,[2]TDSheet!$A$6:$T$44,20,)</f>
        <v>21</v>
      </c>
      <c r="AD28" s="8">
        <f>VLOOKUP(A28:A63,[1]TDSheet!$A$6:$X$43,24,)</f>
        <v>0</v>
      </c>
      <c r="AE28" s="9">
        <f>VLOOKUP(A28:A63,[2]TDSheet!$A$6:$X$44,24,)</f>
        <v>5</v>
      </c>
      <c r="AF28" s="7" t="e">
        <f t="shared" si="7"/>
        <v>#DIV/0!</v>
      </c>
      <c r="AG28" s="10">
        <f>VLOOKUP(A28:A63,[2]TDSheet!$A$6:$W$44,23,)</f>
        <v>5</v>
      </c>
      <c r="AH28" s="8">
        <f>VLOOKUP(A28:A63,[1]TDSheet!$A$6:$AA$43,27,)</f>
        <v>0</v>
      </c>
      <c r="AI28" s="9">
        <f>VLOOKUP(A28:A63,[2]TDSheet!$A$6:$AA$44,27,)</f>
        <v>0</v>
      </c>
      <c r="AJ28" s="7" t="e">
        <f t="shared" si="8"/>
        <v>#DIV/0!</v>
      </c>
      <c r="AK28" s="10">
        <f>VLOOKUP(A28:A63,[2]TDSheet!$A$6:$Z$44,26,)</f>
        <v>1.6080000000000001</v>
      </c>
      <c r="AL28" s="8">
        <f>VLOOKUP(A28:A63,[1]TDSheet!$A$6:$AD$43,30,)</f>
        <v>0</v>
      </c>
      <c r="AM28" s="9">
        <f>VLOOKUP(A28:A63,[2]TDSheet!$A$6:$AD$44,30,)</f>
        <v>0</v>
      </c>
      <c r="AN28" s="7" t="e">
        <f t="shared" si="9"/>
        <v>#DIV/0!</v>
      </c>
      <c r="AO28" s="10">
        <f>VLOOKUP(A28:A63,[2]TDSheet!$A$6:$AC$44,29,)</f>
        <v>11</v>
      </c>
      <c r="AP28" s="8">
        <f>VLOOKUP(A28:A63,[1]TDSheet!$A$6:$AG$43,33,)</f>
        <v>1</v>
      </c>
      <c r="AQ28" s="9">
        <f>VLOOKUP(A28:A63,[2]TDSheet!$A$6:$AG$44,33,)</f>
        <v>3</v>
      </c>
      <c r="AR28" s="7">
        <f t="shared" si="10"/>
        <v>3</v>
      </c>
      <c r="AS28" s="10">
        <f>VLOOKUP(A28:A63,[2]TDSheet!$A$6:$AF$44,32,)</f>
        <v>12</v>
      </c>
      <c r="AT28" s="8">
        <f>VLOOKUP(A28:A63,[1]TDSheet!$A$6:$AJ$43,36,)</f>
        <v>0</v>
      </c>
      <c r="AU28" s="9">
        <f>VLOOKUP(A28:A63,[2]TDSheet!$A$6:$AJ$44,36,)</f>
        <v>1.004</v>
      </c>
      <c r="AV28" s="7" t="e">
        <f t="shared" si="11"/>
        <v>#DIV/0!</v>
      </c>
      <c r="AW28" s="10">
        <f>VLOOKUP(A28:A63,[2]TDSheet!$A$6:$AI$44,35)</f>
        <v>1.3759999999999999</v>
      </c>
      <c r="AX28" s="8">
        <f>VLOOKUP(A28:A63,[1]TDSheet!$A$6:$AM$43,39,)</f>
        <v>0</v>
      </c>
      <c r="AY28" s="29">
        <f>VLOOKUP(A28:A63,[2]TDSheet!$A$6:$AM$44,39,)</f>
        <v>0.81</v>
      </c>
      <c r="AZ28" s="7" t="e">
        <f t="shared" si="12"/>
        <v>#DIV/0!</v>
      </c>
      <c r="BA28" s="30">
        <f>VLOOKUP(A28:A63,[2]TDSheet!$A$6:$AL$44,38,)</f>
        <v>13.36</v>
      </c>
    </row>
    <row r="29" spans="1:53" ht="10.9" customHeight="1" x14ac:dyDescent="0.2">
      <c r="A29" s="2" t="s">
        <v>27</v>
      </c>
      <c r="B29" s="8">
        <f>VLOOKUP(A29:A64,[1]TDSheet!$A$6:$C$43,3,)</f>
        <v>1.452</v>
      </c>
      <c r="C29" s="9">
        <f>VLOOKUP(A29:A64,[2]TDSheet!$A$6:$C$44,3,)</f>
        <v>5.3959999999999999</v>
      </c>
      <c r="D29" s="7">
        <f t="shared" si="0"/>
        <v>3.7162534435261709</v>
      </c>
      <c r="E29" s="10">
        <f>VLOOKUP(A29:A64,[2]TDSheet!$A$6:$B$44,2,)</f>
        <v>0.23799999999999999</v>
      </c>
      <c r="F29" s="8">
        <f>VLOOKUP(A29:A64,[1]TDSheet!$A$6:$F$43,6,)</f>
        <v>0.71599999999999997</v>
      </c>
      <c r="G29" s="9">
        <f>VLOOKUP(A29:A64,[2]TDSheet!$A$6:$F$44,6,)</f>
        <v>2.1880000000000002</v>
      </c>
      <c r="H29" s="7">
        <f t="shared" si="1"/>
        <v>3.05586592178771</v>
      </c>
      <c r="I29" s="28">
        <f>VLOOKUP(A29:A64,[2]TDSheet!$A$6:$E$44,5,)</f>
        <v>0</v>
      </c>
      <c r="J29" s="8">
        <f>VLOOKUP(A29:A64,[1]TDSheet!$A$6:$I$43,9,)</f>
        <v>0</v>
      </c>
      <c r="K29" s="9">
        <f>VLOOKUP(A29:A64,[2]TDSheet!$A$6:$I$44,9,)</f>
        <v>12</v>
      </c>
      <c r="L29" s="7" t="e">
        <f t="shared" si="2"/>
        <v>#DIV/0!</v>
      </c>
      <c r="M29" s="10">
        <f>VLOOKUP(A29:A64,[2]TDSheet!$A$6:$H$44,8,)</f>
        <v>22</v>
      </c>
      <c r="N29" s="8">
        <f>VLOOKUP(A29:A64,[1]TDSheet!$A$6:$L$43,12,)</f>
        <v>2</v>
      </c>
      <c r="O29" s="9">
        <f>VLOOKUP(A29:A64,[2]TDSheet!$A$6:$L$44,12,)</f>
        <v>61</v>
      </c>
      <c r="P29" s="7">
        <f t="shared" si="3"/>
        <v>30.5</v>
      </c>
      <c r="Q29" s="10">
        <f>VLOOKUP(A29:A64,[2]TDSheet!$A$6:$K$44,11,)</f>
        <v>3</v>
      </c>
      <c r="R29" s="8">
        <f>VLOOKUP(A29:A64,[1]TDSheet!$A$6:$O$43,15,)</f>
        <v>6</v>
      </c>
      <c r="S29" s="9">
        <f>VLOOKUP(A29:A64,[2]TDSheet!$A$6:$O$44,15,)</f>
        <v>2</v>
      </c>
      <c r="T29" s="7">
        <f t="shared" si="4"/>
        <v>0.33333333333333331</v>
      </c>
      <c r="U29" s="10">
        <f>VLOOKUP(A29:A64,[2]TDSheet!$A$6:$N$44,14,)</f>
        <v>60</v>
      </c>
      <c r="V29" s="8">
        <f>VLOOKUP(A29:A64,[1]TDSheet!$A$6:$R$43,18)</f>
        <v>0</v>
      </c>
      <c r="W29" s="9">
        <f>VLOOKUP(A29:A64,[2]TDSheet!$A$6:$R$44,18,)</f>
        <v>4</v>
      </c>
      <c r="X29" s="7" t="e">
        <f t="shared" si="5"/>
        <v>#DIV/0!</v>
      </c>
      <c r="Y29" s="10">
        <f>VLOOKUP(A29:A64,[2]TDSheet!$A$6:$Q$44,17,)</f>
        <v>13</v>
      </c>
      <c r="Z29" s="8">
        <f>VLOOKUP(A29:A64,[1]TDSheet!$A$6:$U$44,21,)</f>
        <v>0</v>
      </c>
      <c r="AA29" s="9">
        <f>VLOOKUP(A29:A64,[2]TDSheet!$A$6:$U$44,21,)</f>
        <v>29</v>
      </c>
      <c r="AB29" s="7" t="e">
        <f t="shared" si="6"/>
        <v>#DIV/0!</v>
      </c>
      <c r="AC29" s="10">
        <f>VLOOKUP(A29:A64,[2]TDSheet!$A$6:$T$44,20,)</f>
        <v>60</v>
      </c>
      <c r="AD29" s="8">
        <f>VLOOKUP(A29:A64,[1]TDSheet!$A$6:$X$43,24,)</f>
        <v>7</v>
      </c>
      <c r="AE29" s="9">
        <f>VLOOKUP(A29:A64,[2]TDSheet!$A$6:$X$44,24,)</f>
        <v>117</v>
      </c>
      <c r="AF29" s="7">
        <f t="shared" si="7"/>
        <v>16.714285714285715</v>
      </c>
      <c r="AG29" s="10">
        <f>VLOOKUP(A29:A64,[2]TDSheet!$A$6:$W$44,23,)</f>
        <v>14</v>
      </c>
      <c r="AH29" s="8">
        <f>VLOOKUP(A29:A64,[1]TDSheet!$A$6:$AA$43,27,)</f>
        <v>0</v>
      </c>
      <c r="AI29" s="9">
        <f>VLOOKUP(A29:A64,[2]TDSheet!$A$6:$AA$44,27,)</f>
        <v>2.8279999999999998</v>
      </c>
      <c r="AJ29" s="7" t="e">
        <f t="shared" si="8"/>
        <v>#DIV/0!</v>
      </c>
      <c r="AK29" s="10">
        <f>VLOOKUP(A29:A64,[2]TDSheet!$A$6:$Z$44,26,)</f>
        <v>0.76</v>
      </c>
      <c r="AL29" s="8">
        <f>VLOOKUP(A29:A64,[1]TDSheet!$A$6:$AD$43,30,)</f>
        <v>2</v>
      </c>
      <c r="AM29" s="9">
        <f>VLOOKUP(A29:A64,[2]TDSheet!$A$6:$AD$44,30,)</f>
        <v>4</v>
      </c>
      <c r="AN29" s="7">
        <f t="shared" si="9"/>
        <v>2</v>
      </c>
      <c r="AO29" s="10">
        <f>VLOOKUP(A29:A64,[2]TDSheet!$A$6:$AC$44,29,)</f>
        <v>29</v>
      </c>
      <c r="AP29" s="8">
        <f>VLOOKUP(A29:A64,[1]TDSheet!$A$6:$AG$43,33,)</f>
        <v>3</v>
      </c>
      <c r="AQ29" s="9">
        <f>VLOOKUP(A29:A64,[2]TDSheet!$A$6:$AG$44,33,)</f>
        <v>36</v>
      </c>
      <c r="AR29" s="7">
        <f t="shared" si="10"/>
        <v>12</v>
      </c>
      <c r="AS29" s="10">
        <f>VLOOKUP(A29:A64,[2]TDSheet!$A$6:$AF$44,32,)</f>
        <v>2</v>
      </c>
      <c r="AT29" s="8">
        <f>VLOOKUP(A29:A64,[1]TDSheet!$A$6:$AJ$43,36,)</f>
        <v>2.0779999999999998</v>
      </c>
      <c r="AU29" s="9">
        <f>VLOOKUP(A29:A64,[2]TDSheet!$A$6:$AJ$44,36,)</f>
        <v>14.513999999999999</v>
      </c>
      <c r="AV29" s="7">
        <f t="shared" si="11"/>
        <v>6.9846005774783446</v>
      </c>
      <c r="AW29" s="10">
        <f>VLOOKUP(A29:A64,[2]TDSheet!$A$6:$AI$44,35)</f>
        <v>0.38200000000000001</v>
      </c>
      <c r="AX29" s="8">
        <f>VLOOKUP(A29:A64,[1]TDSheet!$A$6:$AM$43,39,)</f>
        <v>0.104</v>
      </c>
      <c r="AY29" s="29">
        <f>VLOOKUP(A29:A64,[2]TDSheet!$A$6:$AM$44,39,)</f>
        <v>12.154</v>
      </c>
      <c r="AZ29" s="7">
        <f t="shared" si="12"/>
        <v>116.86538461538461</v>
      </c>
      <c r="BA29" s="30">
        <f>VLOOKUP(A29:A64,[2]TDSheet!$A$6:$AL$44,38,)</f>
        <v>1.024</v>
      </c>
    </row>
    <row r="30" spans="1:53" ht="10.9" customHeight="1" x14ac:dyDescent="0.2">
      <c r="A30" s="2" t="s">
        <v>28</v>
      </c>
      <c r="B30" s="8">
        <f>VLOOKUP(A30:A65,[1]TDSheet!$A$6:$C$43,3,)</f>
        <v>1.484</v>
      </c>
      <c r="C30" s="9">
        <f>VLOOKUP(A30:A65,[2]TDSheet!$A$6:$C$44,3,)</f>
        <v>1.538</v>
      </c>
      <c r="D30" s="7">
        <f t="shared" si="0"/>
        <v>1.0363881401617252</v>
      </c>
      <c r="E30" s="10">
        <f>VLOOKUP(A30:A65,[2]TDSheet!$A$6:$B$44,2,)</f>
        <v>0.66600000000000004</v>
      </c>
      <c r="F30" s="8">
        <f>VLOOKUP(A30:A65,[1]TDSheet!$A$6:$F$43,6,)</f>
        <v>0</v>
      </c>
      <c r="G30" s="9">
        <f>VLOOKUP(A30:A65,[2]TDSheet!$A$6:$F$44,6,)</f>
        <v>1.0640000000000001</v>
      </c>
      <c r="H30" s="7" t="e">
        <f t="shared" si="1"/>
        <v>#DIV/0!</v>
      </c>
      <c r="I30" s="28">
        <f>VLOOKUP(A30:A65,[2]TDSheet!$A$6:$E$44,5,)</f>
        <v>0</v>
      </c>
      <c r="J30" s="8">
        <f>VLOOKUP(A30:A65,[1]TDSheet!$A$6:$I$43,9,)</f>
        <v>0</v>
      </c>
      <c r="K30" s="9">
        <f>VLOOKUP(A30:A65,[2]TDSheet!$A$6:$I$44,9,)</f>
        <v>10</v>
      </c>
      <c r="L30" s="7" t="e">
        <f t="shared" si="2"/>
        <v>#DIV/0!</v>
      </c>
      <c r="M30" s="10">
        <f>VLOOKUP(A30:A65,[2]TDSheet!$A$6:$H$44,8,)</f>
        <v>5</v>
      </c>
      <c r="N30" s="8">
        <f>VLOOKUP(A30:A65,[1]TDSheet!$A$6:$L$43,12,)</f>
        <v>2</v>
      </c>
      <c r="O30" s="9">
        <f>VLOOKUP(A30:A65,[2]TDSheet!$A$6:$L$44,12,)</f>
        <v>63</v>
      </c>
      <c r="P30" s="7">
        <f t="shared" si="3"/>
        <v>31.5</v>
      </c>
      <c r="Q30" s="10">
        <f>VLOOKUP(A30:A65,[2]TDSheet!$A$6:$K$44,11,)</f>
        <v>12</v>
      </c>
      <c r="R30" s="8">
        <f>VLOOKUP(A30:A65,[1]TDSheet!$A$6:$O$43,15,)</f>
        <v>1</v>
      </c>
      <c r="S30" s="9">
        <f>VLOOKUP(A30:A65,[2]TDSheet!$A$6:$O$44,15,)</f>
        <v>13</v>
      </c>
      <c r="T30" s="7">
        <f t="shared" si="4"/>
        <v>13</v>
      </c>
      <c r="U30" s="10">
        <f>VLOOKUP(A30:A65,[2]TDSheet!$A$6:$N$44,14,)</f>
        <v>75</v>
      </c>
      <c r="V30" s="8">
        <f>VLOOKUP(A30:A65,[1]TDSheet!$A$6:$R$43,18)</f>
        <v>0</v>
      </c>
      <c r="W30" s="9">
        <f>VLOOKUP(A30:A65,[2]TDSheet!$A$6:$R$44,18,)</f>
        <v>8</v>
      </c>
      <c r="X30" s="7" t="e">
        <f t="shared" si="5"/>
        <v>#DIV/0!</v>
      </c>
      <c r="Y30" s="10">
        <f>VLOOKUP(A30:A65,[2]TDSheet!$A$6:$Q$44,17,)</f>
        <v>29</v>
      </c>
      <c r="Z30" s="8">
        <f>VLOOKUP(A30:A65,[1]TDSheet!$A$6:$U$44,21,)</f>
        <v>1</v>
      </c>
      <c r="AA30" s="9">
        <f>VLOOKUP(A30:A65,[2]TDSheet!$A$6:$U$44,21,)</f>
        <v>6</v>
      </c>
      <c r="AB30" s="7">
        <f t="shared" si="6"/>
        <v>6</v>
      </c>
      <c r="AC30" s="10">
        <f>VLOOKUP(A30:A65,[2]TDSheet!$A$6:$T$44,20,)</f>
        <v>17</v>
      </c>
      <c r="AD30" s="8">
        <f>VLOOKUP(A30:A65,[1]TDSheet!$A$6:$X$43,24,)</f>
        <v>4</v>
      </c>
      <c r="AE30" s="9">
        <f>VLOOKUP(A30:A65,[2]TDSheet!$A$6:$X$44,24,)</f>
        <v>22</v>
      </c>
      <c r="AF30" s="7">
        <f t="shared" si="7"/>
        <v>5.5</v>
      </c>
      <c r="AG30" s="10">
        <f>VLOOKUP(A30:A65,[2]TDSheet!$A$6:$W$44,23,)</f>
        <v>10</v>
      </c>
      <c r="AH30" s="8">
        <f>VLOOKUP(A30:A65,[1]TDSheet!$A$6:$AA$43,27,)</f>
        <v>0</v>
      </c>
      <c r="AI30" s="9">
        <f>VLOOKUP(A30:A65,[2]TDSheet!$A$6:$AA$44,27,)</f>
        <v>1.244</v>
      </c>
      <c r="AJ30" s="7" t="e">
        <f t="shared" si="8"/>
        <v>#DIV/0!</v>
      </c>
      <c r="AK30" s="10">
        <f>VLOOKUP(A30:A65,[2]TDSheet!$A$6:$Z$44,26,)</f>
        <v>3.18</v>
      </c>
      <c r="AL30" s="8">
        <f>VLOOKUP(A30:A65,[1]TDSheet!$A$6:$AD$43,30,)</f>
        <v>1</v>
      </c>
      <c r="AM30" s="9">
        <f>VLOOKUP(A30:A65,[2]TDSheet!$A$6:$AD$44,30,)</f>
        <v>14</v>
      </c>
      <c r="AN30" s="7">
        <f t="shared" si="9"/>
        <v>14</v>
      </c>
      <c r="AO30" s="10">
        <f>VLOOKUP(A30:A65,[2]TDSheet!$A$6:$AC$44,29,)</f>
        <v>10</v>
      </c>
      <c r="AP30" s="8">
        <f>VLOOKUP(A30:A65,[1]TDSheet!$A$6:$AG$43,33,)</f>
        <v>1</v>
      </c>
      <c r="AQ30" s="9">
        <f>VLOOKUP(A30:A65,[2]TDSheet!$A$6:$AG$44,33,)</f>
        <v>24</v>
      </c>
      <c r="AR30" s="7">
        <f t="shared" si="10"/>
        <v>24</v>
      </c>
      <c r="AS30" s="10">
        <f>VLOOKUP(A30:A65,[2]TDSheet!$A$6:$AF$44,32,)</f>
        <v>6</v>
      </c>
      <c r="AT30" s="8">
        <f>VLOOKUP(A30:A65,[1]TDSheet!$A$6:$AJ$43,36,)</f>
        <v>0</v>
      </c>
      <c r="AU30" s="9">
        <f>VLOOKUP(A30:A65,[2]TDSheet!$A$6:$AJ$44,36,)</f>
        <v>5.9139999999999997</v>
      </c>
      <c r="AV30" s="7" t="e">
        <f t="shared" si="11"/>
        <v>#DIV/0!</v>
      </c>
      <c r="AW30" s="10">
        <f>VLOOKUP(A30:A65,[2]TDSheet!$A$6:$AI$44,35)</f>
        <v>0.45400000000000001</v>
      </c>
      <c r="AX30" s="8">
        <f>VLOOKUP(A30:A65,[1]TDSheet!$A$6:$AM$43,39,)</f>
        <v>0.46600000000000003</v>
      </c>
      <c r="AY30" s="29">
        <f>VLOOKUP(A30:A65,[2]TDSheet!$A$6:$AM$44,39,)</f>
        <v>11.183999999999999</v>
      </c>
      <c r="AZ30" s="7">
        <f t="shared" si="12"/>
        <v>23.999999999999996</v>
      </c>
      <c r="BA30" s="30">
        <f>VLOOKUP(A30:A65,[2]TDSheet!$A$6:$AL$44,38,)</f>
        <v>6.1040000000000001</v>
      </c>
    </row>
    <row r="31" spans="1:53" ht="10.9" customHeight="1" x14ac:dyDescent="0.2">
      <c r="A31" s="2" t="s">
        <v>29</v>
      </c>
      <c r="B31" s="8">
        <f>VLOOKUP(A31:A66,[1]TDSheet!$A$6:$C$43,3,)</f>
        <v>2.4380000000000002</v>
      </c>
      <c r="C31" s="9">
        <f>VLOOKUP(A31:A66,[2]TDSheet!$A$6:$C$44,3,)</f>
        <v>3.17</v>
      </c>
      <c r="D31" s="7">
        <f t="shared" si="0"/>
        <v>1.3002461033634125</v>
      </c>
      <c r="E31" s="10">
        <f>VLOOKUP(A31:A66,[2]TDSheet!$A$6:$B$44,2,)</f>
        <v>4.2000000000000003E-2</v>
      </c>
      <c r="F31" s="8">
        <f>VLOOKUP(A31:A66,[1]TDSheet!$A$6:$F$43,6,)</f>
        <v>0.72</v>
      </c>
      <c r="G31" s="9">
        <f>VLOOKUP(A31:A66,[2]TDSheet!$A$6:$F$44,6,)</f>
        <v>10.683999999999999</v>
      </c>
      <c r="H31" s="7">
        <f t="shared" si="1"/>
        <v>14.838888888888889</v>
      </c>
      <c r="I31" s="28">
        <f>VLOOKUP(A31:A66,[2]TDSheet!$A$6:$E$44,5,)</f>
        <v>-0.84399999999999997</v>
      </c>
      <c r="J31" s="8">
        <f>VLOOKUP(A31:A66,[1]TDSheet!$A$6:$I$43,9,)</f>
        <v>1</v>
      </c>
      <c r="K31" s="9">
        <f>VLOOKUP(A31:A66,[2]TDSheet!$A$6:$I$44,9,)</f>
        <v>51</v>
      </c>
      <c r="L31" s="7">
        <f t="shared" si="2"/>
        <v>51</v>
      </c>
      <c r="M31" s="10">
        <f>VLOOKUP(A31:A66,[2]TDSheet!$A$6:$H$44,8,)</f>
        <v>0</v>
      </c>
      <c r="N31" s="8">
        <f>VLOOKUP(A31:A66,[1]TDSheet!$A$6:$L$43,12,)</f>
        <v>5</v>
      </c>
      <c r="O31" s="9">
        <f>VLOOKUP(A31:A66,[2]TDSheet!$A$6:$L$44,12,)</f>
        <v>92</v>
      </c>
      <c r="P31" s="7">
        <f t="shared" si="3"/>
        <v>18.399999999999999</v>
      </c>
      <c r="Q31" s="10">
        <f>VLOOKUP(A31:A66,[2]TDSheet!$A$6:$K$44,11,)</f>
        <v>0</v>
      </c>
      <c r="R31" s="8">
        <f>VLOOKUP(A31:A66,[1]TDSheet!$A$6:$O$43,15,)</f>
        <v>0</v>
      </c>
      <c r="S31" s="9">
        <f>VLOOKUP(A31:A66,[2]TDSheet!$A$6:$O$44,15,)</f>
        <v>83</v>
      </c>
      <c r="T31" s="7" t="e">
        <f t="shared" si="4"/>
        <v>#DIV/0!</v>
      </c>
      <c r="U31" s="10">
        <f>VLOOKUP(A31:A66,[2]TDSheet!$A$6:$N$44,14,)</f>
        <v>99</v>
      </c>
      <c r="V31" s="8">
        <f>VLOOKUP(A31:A66,[1]TDSheet!$A$6:$R$43,18)</f>
        <v>0</v>
      </c>
      <c r="W31" s="9">
        <f>VLOOKUP(A31:A66,[2]TDSheet!$A$6:$R$44,18,)</f>
        <v>23</v>
      </c>
      <c r="X31" s="7" t="e">
        <f t="shared" si="5"/>
        <v>#DIV/0!</v>
      </c>
      <c r="Y31" s="10">
        <f>VLOOKUP(A31:A66,[2]TDSheet!$A$6:$Q$44,17,)</f>
        <v>11</v>
      </c>
      <c r="Z31" s="8">
        <f>VLOOKUP(A31:A66,[1]TDSheet!$A$6:$U$44,21,)</f>
        <v>11</v>
      </c>
      <c r="AA31" s="9">
        <f>VLOOKUP(A31:A66,[2]TDSheet!$A$6:$U$44,21,)</f>
        <v>42</v>
      </c>
      <c r="AB31" s="7">
        <f t="shared" si="6"/>
        <v>3.8181818181818183</v>
      </c>
      <c r="AC31" s="10">
        <f>VLOOKUP(A31:A66,[2]TDSheet!$A$6:$T$44,20,)</f>
        <v>43</v>
      </c>
      <c r="AD31" s="8">
        <f>VLOOKUP(A31:A66,[1]TDSheet!$A$6:$X$43,24,)</f>
        <v>14</v>
      </c>
      <c r="AE31" s="9">
        <f>VLOOKUP(A31:A66,[2]TDSheet!$A$6:$X$44,24,)</f>
        <v>45</v>
      </c>
      <c r="AF31" s="7">
        <f t="shared" si="7"/>
        <v>3.2142857142857144</v>
      </c>
      <c r="AG31" s="10">
        <f>VLOOKUP(A31:A66,[2]TDSheet!$A$6:$W$44,23,)</f>
        <v>32</v>
      </c>
      <c r="AH31" s="8">
        <f>VLOOKUP(A31:A66,[1]TDSheet!$A$6:$AA$43,27,)</f>
        <v>0</v>
      </c>
      <c r="AI31" s="9">
        <f>VLOOKUP(A31:A66,[2]TDSheet!$A$6:$AA$44,27,)</f>
        <v>1.1599999999999999</v>
      </c>
      <c r="AJ31" s="7" t="e">
        <f t="shared" si="8"/>
        <v>#DIV/0!</v>
      </c>
      <c r="AK31" s="10">
        <f>VLOOKUP(A31:A66,[2]TDSheet!$A$6:$Z$44,26,)</f>
        <v>0.39800000000000002</v>
      </c>
      <c r="AL31" s="8">
        <f>VLOOKUP(A31:A66,[1]TDSheet!$A$6:$AD$43,30,)</f>
        <v>1</v>
      </c>
      <c r="AM31" s="9">
        <f>VLOOKUP(A31:A66,[2]TDSheet!$A$6:$AD$44,30,)</f>
        <v>23</v>
      </c>
      <c r="AN31" s="7">
        <f t="shared" si="9"/>
        <v>23</v>
      </c>
      <c r="AO31" s="10">
        <f>VLOOKUP(A31:A66,[2]TDSheet!$A$6:$AC$44,29,)</f>
        <v>2</v>
      </c>
      <c r="AP31" s="8">
        <f>VLOOKUP(A31:A66,[1]TDSheet!$A$6:$AG$43,33,)</f>
        <v>5</v>
      </c>
      <c r="AQ31" s="9">
        <f>VLOOKUP(A31:A66,[2]TDSheet!$A$6:$AG$44,33,)</f>
        <v>29</v>
      </c>
      <c r="AR31" s="7">
        <f t="shared" si="10"/>
        <v>5.8</v>
      </c>
      <c r="AS31" s="10">
        <f>VLOOKUP(A31:A66,[2]TDSheet!$A$6:$AF$44,32,)</f>
        <v>12</v>
      </c>
      <c r="AT31" s="8">
        <f>VLOOKUP(A31:A66,[1]TDSheet!$A$6:$AJ$43,36,)</f>
        <v>2.82</v>
      </c>
      <c r="AU31" s="9">
        <f>VLOOKUP(A31:A66,[2]TDSheet!$A$6:$AJ$44,36,)</f>
        <v>13.086</v>
      </c>
      <c r="AV31" s="7">
        <f t="shared" si="11"/>
        <v>4.6404255319148939</v>
      </c>
      <c r="AW31" s="10">
        <f>VLOOKUP(A31:A66,[2]TDSheet!$A$6:$AI$44,35)</f>
        <v>0.28199999999999997</v>
      </c>
      <c r="AX31" s="8">
        <f>VLOOKUP(A31:A66,[1]TDSheet!$A$6:$AM$43,39,)</f>
        <v>0.83199999999999996</v>
      </c>
      <c r="AY31" s="29">
        <f>VLOOKUP(A31:A66,[2]TDSheet!$A$6:$AM$44,39,)</f>
        <v>23.108000000000001</v>
      </c>
      <c r="AZ31" s="7">
        <f t="shared" si="12"/>
        <v>27.774038461538463</v>
      </c>
      <c r="BA31" s="30">
        <f>VLOOKUP(A31:A66,[2]TDSheet!$A$6:$AL$44,38,)</f>
        <v>15.146000000000001</v>
      </c>
    </row>
    <row r="32" spans="1:53" ht="10.9" customHeight="1" x14ac:dyDescent="0.2">
      <c r="A32" s="2" t="s">
        <v>30</v>
      </c>
      <c r="B32" s="8">
        <f>VLOOKUP(A32:A67,[1]TDSheet!$A$6:$C$43,3,)</f>
        <v>0.61</v>
      </c>
      <c r="C32" s="9">
        <f>VLOOKUP(A32:A67,[2]TDSheet!$A$6:$C$44,3,)</f>
        <v>2.6520000000000001</v>
      </c>
      <c r="D32" s="7">
        <f t="shared" si="0"/>
        <v>4.3475409836065575</v>
      </c>
      <c r="E32" s="10">
        <f>VLOOKUP(A32:A67,[2]TDSheet!$A$6:$B$44,2,)</f>
        <v>1.758</v>
      </c>
      <c r="F32" s="8">
        <f>VLOOKUP(A32:A67,[1]TDSheet!$A$6:$F$43,6,)</f>
        <v>0</v>
      </c>
      <c r="G32" s="9">
        <f>VLOOKUP(A32:A67,[2]TDSheet!$A$6:$F$44,6,)</f>
        <v>1.8260000000000001</v>
      </c>
      <c r="H32" s="7" t="e">
        <f t="shared" si="1"/>
        <v>#DIV/0!</v>
      </c>
      <c r="I32" s="28">
        <f>VLOOKUP(A32:A67,[2]TDSheet!$A$6:$E$44,5,)</f>
        <v>0.34799999999999998</v>
      </c>
      <c r="J32" s="8">
        <f>VLOOKUP(A32:A67,[1]TDSheet!$A$6:$I$43,9,)</f>
        <v>1</v>
      </c>
      <c r="K32" s="9">
        <f>VLOOKUP(A32:A67,[2]TDSheet!$A$6:$I$44,9,)</f>
        <v>14</v>
      </c>
      <c r="L32" s="7">
        <f t="shared" si="2"/>
        <v>14</v>
      </c>
      <c r="M32" s="10">
        <f>VLOOKUP(A32:A67,[2]TDSheet!$A$6:$H$44,8,)</f>
        <v>0</v>
      </c>
      <c r="N32" s="8">
        <f>VLOOKUP(A32:A67,[1]TDSheet!$A$6:$L$43,12,)</f>
        <v>3</v>
      </c>
      <c r="O32" s="9">
        <f>VLOOKUP(A32:A67,[2]TDSheet!$A$6:$L$44,12,)</f>
        <v>95</v>
      </c>
      <c r="P32" s="7">
        <f t="shared" si="3"/>
        <v>31.666666666666668</v>
      </c>
      <c r="Q32" s="10">
        <f>VLOOKUP(A32:A67,[2]TDSheet!$A$6:$K$44,11,)</f>
        <v>0</v>
      </c>
      <c r="R32" s="8">
        <f>VLOOKUP(A32:A67,[1]TDSheet!$A$6:$O$43,15,)</f>
        <v>6</v>
      </c>
      <c r="S32" s="9">
        <f>VLOOKUP(A32:A67,[2]TDSheet!$A$6:$O$44,15,)</f>
        <v>24</v>
      </c>
      <c r="T32" s="7">
        <f t="shared" si="4"/>
        <v>4</v>
      </c>
      <c r="U32" s="10">
        <f>VLOOKUP(A32:A67,[2]TDSheet!$A$6:$N$44,14,)</f>
        <v>54</v>
      </c>
      <c r="V32" s="8">
        <f>VLOOKUP(A32:A67,[1]TDSheet!$A$6:$R$43,18)</f>
        <v>1</v>
      </c>
      <c r="W32" s="9">
        <f>VLOOKUP(A32:A67,[2]TDSheet!$A$6:$R$44,18,)</f>
        <v>15</v>
      </c>
      <c r="X32" s="7">
        <f t="shared" si="5"/>
        <v>15</v>
      </c>
      <c r="Y32" s="10">
        <f>VLOOKUP(A32:A67,[2]TDSheet!$A$6:$Q$44,17,)</f>
        <v>8</v>
      </c>
      <c r="Z32" s="8">
        <f>VLOOKUP(A32:A67,[1]TDSheet!$A$6:$U$44,21,)</f>
        <v>0</v>
      </c>
      <c r="AA32" s="9">
        <f>VLOOKUP(A32:A67,[2]TDSheet!$A$6:$U$44,21,)</f>
        <v>10</v>
      </c>
      <c r="AB32" s="7" t="e">
        <f t="shared" si="6"/>
        <v>#DIV/0!</v>
      </c>
      <c r="AC32" s="10">
        <f>VLOOKUP(A32:A67,[2]TDSheet!$A$6:$T$44,20,)</f>
        <v>27</v>
      </c>
      <c r="AD32" s="8">
        <f>VLOOKUP(A32:A67,[1]TDSheet!$A$6:$X$43,24,)</f>
        <v>0</v>
      </c>
      <c r="AE32" s="9">
        <f>VLOOKUP(A32:A67,[2]TDSheet!$A$6:$X$44,24,)</f>
        <v>24</v>
      </c>
      <c r="AF32" s="7" t="e">
        <f t="shared" si="7"/>
        <v>#DIV/0!</v>
      </c>
      <c r="AG32" s="10">
        <f>VLOOKUP(A32:A67,[2]TDSheet!$A$6:$W$44,23,)</f>
        <v>2</v>
      </c>
      <c r="AH32" s="8">
        <f>VLOOKUP(A32:A67,[1]TDSheet!$A$6:$AA$43,27,)</f>
        <v>0</v>
      </c>
      <c r="AI32" s="9">
        <f>VLOOKUP(A32:A67,[2]TDSheet!$A$6:$AA$44,27,)</f>
        <v>1.6140000000000001</v>
      </c>
      <c r="AJ32" s="7" t="e">
        <f t="shared" si="8"/>
        <v>#DIV/0!</v>
      </c>
      <c r="AK32" s="10">
        <f>VLOOKUP(A32:A67,[2]TDSheet!$A$6:$Z$44,26,)</f>
        <v>1.18</v>
      </c>
      <c r="AL32" s="8">
        <f>VLOOKUP(A32:A67,[1]TDSheet!$A$6:$AD$43,30,)</f>
        <v>1</v>
      </c>
      <c r="AM32" s="9">
        <f>VLOOKUP(A32:A67,[2]TDSheet!$A$6:$AD$44,30,)</f>
        <v>19</v>
      </c>
      <c r="AN32" s="7">
        <f t="shared" si="9"/>
        <v>19</v>
      </c>
      <c r="AO32" s="10">
        <f>VLOOKUP(A32:A67,[2]TDSheet!$A$6:$AC$44,29,)</f>
        <v>8</v>
      </c>
      <c r="AP32" s="8">
        <f>VLOOKUP(A32:A67,[1]TDSheet!$A$6:$AG$43,33,)</f>
        <v>2</v>
      </c>
      <c r="AQ32" s="9">
        <f>VLOOKUP(A32:A67,[2]TDSheet!$A$6:$AG$44,33,)</f>
        <v>36</v>
      </c>
      <c r="AR32" s="7">
        <f t="shared" si="10"/>
        <v>18</v>
      </c>
      <c r="AS32" s="10">
        <f>VLOOKUP(A32:A67,[2]TDSheet!$A$6:$AF$44,32,)</f>
        <v>15</v>
      </c>
      <c r="AT32" s="8">
        <f>VLOOKUP(A32:A67,[1]TDSheet!$A$6:$AJ$43,36,)</f>
        <v>0.38600000000000001</v>
      </c>
      <c r="AU32" s="9">
        <f>VLOOKUP(A32:A67,[2]TDSheet!$A$6:$AJ$44,36,)</f>
        <v>2.7679999999999998</v>
      </c>
      <c r="AV32" s="7">
        <f t="shared" si="11"/>
        <v>7.1709844559585489</v>
      </c>
      <c r="AW32" s="10">
        <f>VLOOKUP(A32:A67,[2]TDSheet!$A$6:$AI$44,35)</f>
        <v>-6.0000000000000001E-3</v>
      </c>
      <c r="AX32" s="8">
        <f>VLOOKUP(A32:A67,[1]TDSheet!$A$6:$AM$43,39,)</f>
        <v>0.14399999999999999</v>
      </c>
      <c r="AY32" s="29">
        <f>VLOOKUP(A32:A67,[2]TDSheet!$A$6:$AM$44,39,)</f>
        <v>5.58</v>
      </c>
      <c r="AZ32" s="7">
        <f t="shared" si="12"/>
        <v>38.75</v>
      </c>
      <c r="BA32" s="30">
        <f>VLOOKUP(A32:A67,[2]TDSheet!$A$6:$AL$44,38,)</f>
        <v>18.606000000000002</v>
      </c>
    </row>
    <row r="33" spans="1:53" ht="10.9" customHeight="1" x14ac:dyDescent="0.2">
      <c r="A33" s="2" t="s">
        <v>31</v>
      </c>
      <c r="B33" s="8">
        <f>VLOOKUP(A33:A68,[1]TDSheet!$A$6:$C$43,3,)</f>
        <v>3.286</v>
      </c>
      <c r="C33" s="9">
        <f>VLOOKUP(A33:A68,[2]TDSheet!$A$6:$C$44,3,)</f>
        <v>3.2519999999999998</v>
      </c>
      <c r="D33" s="7">
        <f t="shared" si="0"/>
        <v>0.98965307364576982</v>
      </c>
      <c r="E33" s="10">
        <f>VLOOKUP(A33:A68,[2]TDSheet!$A$6:$B$44,2,)</f>
        <v>4.9119999999999999</v>
      </c>
      <c r="F33" s="8">
        <f>VLOOKUP(A33:A68,[1]TDSheet!$A$6:$F$43,6,)</f>
        <v>0</v>
      </c>
      <c r="G33" s="9">
        <f>VLOOKUP(A33:A68,[2]TDSheet!$A$6:$F$44,6,)</f>
        <v>4.33</v>
      </c>
      <c r="H33" s="7" t="e">
        <f t="shared" si="1"/>
        <v>#DIV/0!</v>
      </c>
      <c r="I33" s="28">
        <f>VLOOKUP(A33:A68,[2]TDSheet!$A$6:$E$44,5,)</f>
        <v>0</v>
      </c>
      <c r="J33" s="8">
        <f>VLOOKUP(A33:A68,[1]TDSheet!$A$6:$I$43,9,)</f>
        <v>1</v>
      </c>
      <c r="K33" s="9">
        <f>VLOOKUP(A33:A68,[2]TDSheet!$A$6:$I$44,9,)</f>
        <v>55</v>
      </c>
      <c r="L33" s="7">
        <f t="shared" si="2"/>
        <v>55</v>
      </c>
      <c r="M33" s="10">
        <f>VLOOKUP(A33:A68,[2]TDSheet!$A$6:$H$44,8,)</f>
        <v>75</v>
      </c>
      <c r="N33" s="8">
        <f>VLOOKUP(A33:A68,[1]TDSheet!$A$6:$L$43,12,)</f>
        <v>6</v>
      </c>
      <c r="O33" s="9">
        <f>VLOOKUP(A33:A68,[2]TDSheet!$A$6:$L$44,12,)</f>
        <v>210</v>
      </c>
      <c r="P33" s="7">
        <f t="shared" si="3"/>
        <v>35</v>
      </c>
      <c r="Q33" s="10">
        <f>VLOOKUP(A33:A68,[2]TDSheet!$A$6:$K$44,11,)</f>
        <v>0</v>
      </c>
      <c r="R33" s="8">
        <f>VLOOKUP(A33:A68,[1]TDSheet!$A$6:$O$43,15,)</f>
        <v>3</v>
      </c>
      <c r="S33" s="9">
        <f>VLOOKUP(A33:A68,[2]TDSheet!$A$6:$O$44,15,)</f>
        <v>12</v>
      </c>
      <c r="T33" s="7">
        <f t="shared" si="4"/>
        <v>4</v>
      </c>
      <c r="U33" s="10">
        <f>VLOOKUP(A33:A68,[2]TDSheet!$A$6:$N$44,14,)</f>
        <v>193</v>
      </c>
      <c r="V33" s="8">
        <f>VLOOKUP(A33:A68,[1]TDSheet!$A$6:$R$43,18)</f>
        <v>5</v>
      </c>
      <c r="W33" s="9">
        <f>VLOOKUP(A33:A68,[2]TDSheet!$A$6:$R$44,18,)</f>
        <v>32</v>
      </c>
      <c r="X33" s="7">
        <f t="shared" si="5"/>
        <v>6.4</v>
      </c>
      <c r="Y33" s="10">
        <f>VLOOKUP(A33:A68,[2]TDSheet!$A$6:$Q$44,17,)</f>
        <v>25</v>
      </c>
      <c r="Z33" s="8">
        <f>VLOOKUP(A33:A68,[1]TDSheet!$A$6:$U$44,21,)</f>
        <v>6</v>
      </c>
      <c r="AA33" s="9">
        <f>VLOOKUP(A33:A68,[2]TDSheet!$A$6:$U$44,21,)</f>
        <v>19</v>
      </c>
      <c r="AB33" s="7">
        <f t="shared" si="6"/>
        <v>3.1666666666666665</v>
      </c>
      <c r="AC33" s="10">
        <f>VLOOKUP(A33:A68,[2]TDSheet!$A$6:$T$44,20,)</f>
        <v>2</v>
      </c>
      <c r="AD33" s="8">
        <f>VLOOKUP(A33:A68,[1]TDSheet!$A$6:$X$43,24,)</f>
        <v>0</v>
      </c>
      <c r="AE33" s="9">
        <f>VLOOKUP(A33:A68,[2]TDSheet!$A$6:$X$44,24,)</f>
        <v>80</v>
      </c>
      <c r="AF33" s="7" t="e">
        <f t="shared" si="7"/>
        <v>#DIV/0!</v>
      </c>
      <c r="AG33" s="10">
        <f>VLOOKUP(A33:A68,[2]TDSheet!$A$6:$W$44,23,)</f>
        <v>10</v>
      </c>
      <c r="AH33" s="8">
        <f>VLOOKUP(A33:A68,[1]TDSheet!$A$6:$AA$43,27,)</f>
        <v>2.1259999999999999</v>
      </c>
      <c r="AI33" s="9">
        <f>VLOOKUP(A33:A68,[2]TDSheet!$A$6:$AA$44,27,)</f>
        <v>5.44</v>
      </c>
      <c r="AJ33" s="7">
        <f t="shared" si="8"/>
        <v>2.5587958607714021</v>
      </c>
      <c r="AK33" s="10">
        <f>VLOOKUP(A33:A68,[2]TDSheet!$A$6:$Z$44,26,)</f>
        <v>0.10199999999999999</v>
      </c>
      <c r="AL33" s="8">
        <f>VLOOKUP(A33:A68,[1]TDSheet!$A$6:$AD$43,30,)</f>
        <v>3</v>
      </c>
      <c r="AM33" s="9">
        <f>VLOOKUP(A33:A68,[2]TDSheet!$A$6:$AD$44,30,)</f>
        <v>58</v>
      </c>
      <c r="AN33" s="7">
        <f t="shared" si="9"/>
        <v>19.333333333333332</v>
      </c>
      <c r="AO33" s="10">
        <f>VLOOKUP(A33:A68,[2]TDSheet!$A$6:$AC$44,29,)</f>
        <v>14</v>
      </c>
      <c r="AP33" s="8">
        <f>VLOOKUP(A33:A68,[1]TDSheet!$A$6:$AG$43,33,)</f>
        <v>4</v>
      </c>
      <c r="AQ33" s="9">
        <f>VLOOKUP(A33:A68,[2]TDSheet!$A$6:$AG$44,33,)</f>
        <v>41</v>
      </c>
      <c r="AR33" s="7">
        <f t="shared" si="10"/>
        <v>10.25</v>
      </c>
      <c r="AS33" s="10">
        <f>VLOOKUP(A33:A68,[2]TDSheet!$A$6:$AF$44,32,)</f>
        <v>9</v>
      </c>
      <c r="AT33" s="8">
        <f>VLOOKUP(A33:A68,[1]TDSheet!$A$6:$AJ$43,36,)</f>
        <v>4.4359999999999999</v>
      </c>
      <c r="AU33" s="9">
        <f>VLOOKUP(A33:A68,[2]TDSheet!$A$6:$AJ$44,36,)</f>
        <v>25.108000000000001</v>
      </c>
      <c r="AV33" s="7">
        <f t="shared" si="11"/>
        <v>5.6600541027953115</v>
      </c>
      <c r="AW33" s="10">
        <f>VLOOKUP(A33:A68,[2]TDSheet!$A$6:$AI$44,35)</f>
        <v>-0.35299999999999998</v>
      </c>
      <c r="AX33" s="8">
        <f>VLOOKUP(A33:A68,[1]TDSheet!$A$6:$AM$43,39,)</f>
        <v>1.006</v>
      </c>
      <c r="AY33" s="29">
        <f>VLOOKUP(A33:A68,[2]TDSheet!$A$6:$AM$44,39,)</f>
        <v>46.387999999999998</v>
      </c>
      <c r="AZ33" s="7">
        <f t="shared" si="12"/>
        <v>46.111332007952285</v>
      </c>
      <c r="BA33" s="30">
        <f>VLOOKUP(A33:A68,[2]TDSheet!$A$6:$AL$44,38,)</f>
        <v>76.822000000000003</v>
      </c>
    </row>
    <row r="34" spans="1:53" ht="10.9" customHeight="1" x14ac:dyDescent="0.2">
      <c r="A34" s="2" t="s">
        <v>32</v>
      </c>
      <c r="B34" s="8">
        <f>VLOOKUP(A34:A69,[1]TDSheet!$A$6:$C$43,3,)</f>
        <v>2.7639999999999998</v>
      </c>
      <c r="C34" s="9">
        <f>VLOOKUP(A34:A69,[2]TDSheet!$A$6:$C$44,3,)</f>
        <v>4.25</v>
      </c>
      <c r="D34" s="7">
        <f t="shared" si="0"/>
        <v>1.5376266280752533</v>
      </c>
      <c r="E34" s="10">
        <f>VLOOKUP(A34:A69,[2]TDSheet!$A$6:$B$44,2,)</f>
        <v>1.228</v>
      </c>
      <c r="F34" s="8">
        <f>VLOOKUP(A34:A69,[1]TDSheet!$A$6:$F$43,6,)</f>
        <v>0</v>
      </c>
      <c r="G34" s="9">
        <f>VLOOKUP(A34:A69,[2]TDSheet!$A$6:$F$44,6,)</f>
        <v>0</v>
      </c>
      <c r="H34" s="7" t="e">
        <f t="shared" si="1"/>
        <v>#DIV/0!</v>
      </c>
      <c r="I34" s="28">
        <f>VLOOKUP(A34:A69,[2]TDSheet!$A$6:$E$44,5,)</f>
        <v>0</v>
      </c>
      <c r="J34" s="8">
        <f>VLOOKUP(A34:A69,[1]TDSheet!$A$6:$I$43,9,)</f>
        <v>0</v>
      </c>
      <c r="K34" s="9">
        <f>VLOOKUP(A34:A69,[2]TDSheet!$A$6:$I$44,9,)</f>
        <v>8</v>
      </c>
      <c r="L34" s="7" t="e">
        <f t="shared" si="2"/>
        <v>#DIV/0!</v>
      </c>
      <c r="M34" s="10">
        <f>VLOOKUP(A34:A69,[2]TDSheet!$A$6:$H$44,8,)</f>
        <v>0</v>
      </c>
      <c r="N34" s="8">
        <f>VLOOKUP(A34:A69,[1]TDSheet!$A$6:$L$43,12,)</f>
        <v>4</v>
      </c>
      <c r="O34" s="9">
        <f>VLOOKUP(A34:A69,[2]TDSheet!$A$6:$L$44,12,)</f>
        <v>95</v>
      </c>
      <c r="P34" s="7">
        <f t="shared" si="3"/>
        <v>23.75</v>
      </c>
      <c r="Q34" s="10">
        <f>VLOOKUP(A34:A69,[2]TDSheet!$A$6:$K$44,11,)</f>
        <v>9</v>
      </c>
      <c r="R34" s="8">
        <f>VLOOKUP(A34:A69,[1]TDSheet!$A$6:$O$43,15,)</f>
        <v>2</v>
      </c>
      <c r="S34" s="9">
        <f>VLOOKUP(A34:A69,[2]TDSheet!$A$6:$O$44,15,)</f>
        <v>26</v>
      </c>
      <c r="T34" s="7">
        <f t="shared" si="4"/>
        <v>13</v>
      </c>
      <c r="U34" s="10">
        <f>VLOOKUP(A34:A69,[2]TDSheet!$A$6:$N$44,14,)</f>
        <v>69</v>
      </c>
      <c r="V34" s="8">
        <f>VLOOKUP(A34:A69,[1]TDSheet!$A$6:$R$43,18)</f>
        <v>2</v>
      </c>
      <c r="W34" s="9">
        <f>VLOOKUP(A34:A69,[2]TDSheet!$A$6:$R$44,18,)</f>
        <v>17</v>
      </c>
      <c r="X34" s="7">
        <f t="shared" si="5"/>
        <v>8.5</v>
      </c>
      <c r="Y34" s="10">
        <f>VLOOKUP(A34:A69,[2]TDSheet!$A$6:$Q$44,17,)</f>
        <v>22</v>
      </c>
      <c r="Z34" s="8">
        <f>VLOOKUP(A34:A69,[1]TDSheet!$A$6:$U$44,21,)</f>
        <v>3</v>
      </c>
      <c r="AA34" s="9">
        <f>VLOOKUP(A34:A69,[2]TDSheet!$A$6:$U$44,21,)</f>
        <v>9</v>
      </c>
      <c r="AB34" s="7">
        <f t="shared" si="6"/>
        <v>3</v>
      </c>
      <c r="AC34" s="10">
        <f>VLOOKUP(A34:A69,[2]TDSheet!$A$6:$T$44,20,)</f>
        <v>0</v>
      </c>
      <c r="AD34" s="8">
        <f>VLOOKUP(A34:A69,[1]TDSheet!$A$6:$X$43,24,)</f>
        <v>15</v>
      </c>
      <c r="AE34" s="9">
        <f>VLOOKUP(A34:A69,[2]TDSheet!$A$6:$X$44,24,)</f>
        <v>179</v>
      </c>
      <c r="AF34" s="7">
        <f t="shared" si="7"/>
        <v>11.933333333333334</v>
      </c>
      <c r="AG34" s="10">
        <f>VLOOKUP(A34:A69,[2]TDSheet!$A$6:$W$44,23,)</f>
        <v>-14</v>
      </c>
      <c r="AH34" s="8">
        <f>VLOOKUP(A34:A69,[1]TDSheet!$A$6:$AA$43,27,)</f>
        <v>0</v>
      </c>
      <c r="AI34" s="9">
        <f>VLOOKUP(A34:A69,[2]TDSheet!$A$6:$AA$44,27,)</f>
        <v>5.2480000000000002</v>
      </c>
      <c r="AJ34" s="7" t="e">
        <f t="shared" si="8"/>
        <v>#DIV/0!</v>
      </c>
      <c r="AK34" s="10">
        <f>VLOOKUP(A34:A69,[2]TDSheet!$A$6:$Z$44,26,)</f>
        <v>-0.438</v>
      </c>
      <c r="AL34" s="8">
        <f>VLOOKUP(A34:A69,[1]TDSheet!$A$6:$AD$43,30,)</f>
        <v>0</v>
      </c>
      <c r="AM34" s="9">
        <f>VLOOKUP(A34:A69,[2]TDSheet!$A$6:$AD$44,30,)</f>
        <v>12</v>
      </c>
      <c r="AN34" s="7" t="e">
        <f t="shared" si="9"/>
        <v>#DIV/0!</v>
      </c>
      <c r="AO34" s="10">
        <f>VLOOKUP(A34:A69,[2]TDSheet!$A$6:$AC$44,29,)</f>
        <v>1</v>
      </c>
      <c r="AP34" s="8">
        <f>VLOOKUP(A34:A69,[1]TDSheet!$A$6:$AG$43,33,)</f>
        <v>0</v>
      </c>
      <c r="AQ34" s="9">
        <f>VLOOKUP(A34:A69,[2]TDSheet!$A$6:$AG$44,33,)</f>
        <v>36</v>
      </c>
      <c r="AR34" s="7" t="e">
        <f t="shared" si="10"/>
        <v>#DIV/0!</v>
      </c>
      <c r="AS34" s="10">
        <f>VLOOKUP(A34:A69,[2]TDSheet!$A$6:$AF$44,32,)</f>
        <v>9</v>
      </c>
      <c r="AT34" s="8">
        <f>VLOOKUP(A34:A69,[1]TDSheet!$A$6:$AJ$43,36,)</f>
        <v>0</v>
      </c>
      <c r="AU34" s="9">
        <f>VLOOKUP(A34:A69,[2]TDSheet!$A$6:$AJ$44,36,)</f>
        <v>0</v>
      </c>
      <c r="AV34" s="7" t="e">
        <f t="shared" si="11"/>
        <v>#DIV/0!</v>
      </c>
      <c r="AW34" s="10">
        <f>VLOOKUP(A34:A69,[2]TDSheet!$A$6:$AI$44,35)</f>
        <v>0</v>
      </c>
      <c r="AX34" s="8">
        <f>VLOOKUP(A34:A69,[1]TDSheet!$A$6:$AM$43,39,)</f>
        <v>0</v>
      </c>
      <c r="AY34" s="29">
        <f>VLOOKUP(A34:A69,[2]TDSheet!$A$6:$AM$44,39,)</f>
        <v>34.421999999999997</v>
      </c>
      <c r="AZ34" s="7" t="e">
        <f t="shared" si="12"/>
        <v>#DIV/0!</v>
      </c>
      <c r="BA34" s="30">
        <f>VLOOKUP(A34:A69,[2]TDSheet!$A$6:$AL$44,38,)</f>
        <v>-1.3740000000000001</v>
      </c>
    </row>
    <row r="35" spans="1:53" ht="10.9" customHeight="1" x14ac:dyDescent="0.2">
      <c r="A35" s="2" t="s">
        <v>33</v>
      </c>
      <c r="B35" s="8">
        <f>VLOOKUP(A35:A70,[1]TDSheet!$A$6:$C$43,3,)</f>
        <v>1.054</v>
      </c>
      <c r="C35" s="9">
        <f>VLOOKUP(A35:A70,[2]TDSheet!$A$6:$C$44,3,)</f>
        <v>1.502</v>
      </c>
      <c r="D35" s="7">
        <f t="shared" si="0"/>
        <v>1.4250474383301708</v>
      </c>
      <c r="E35" s="10">
        <f>VLOOKUP(A35:A70,[2]TDSheet!$A$6:$B$44,2,)</f>
        <v>1.6739999999999999</v>
      </c>
      <c r="F35" s="8">
        <f>VLOOKUP(A35:A70,[1]TDSheet!$A$6:$F$43,6,)</f>
        <v>2.8079999999999998</v>
      </c>
      <c r="G35" s="9">
        <f>VLOOKUP(A35:A70,[2]TDSheet!$A$6:$F$44,6,)</f>
        <v>2.17</v>
      </c>
      <c r="H35" s="7">
        <f t="shared" si="1"/>
        <v>0.77279202279202286</v>
      </c>
      <c r="I35" s="28">
        <f>VLOOKUP(A35:A70,[2]TDSheet!$A$6:$E$44,5,)</f>
        <v>-1.0900000000000001</v>
      </c>
      <c r="J35" s="8">
        <f>VLOOKUP(A35:A70,[1]TDSheet!$A$6:$I$43,9,)</f>
        <v>0</v>
      </c>
      <c r="K35" s="9">
        <f>VLOOKUP(A35:A70,[2]TDSheet!$A$6:$I$44,9,)</f>
        <v>12</v>
      </c>
      <c r="L35" s="7" t="e">
        <f t="shared" si="2"/>
        <v>#DIV/0!</v>
      </c>
      <c r="M35" s="10">
        <f>VLOOKUP(A35:A70,[2]TDSheet!$A$6:$H$44,8,)</f>
        <v>2</v>
      </c>
      <c r="N35" s="8">
        <f>VLOOKUP(A35:A70,[1]TDSheet!$A$6:$L$43,12,)</f>
        <v>0</v>
      </c>
      <c r="O35" s="9">
        <f>VLOOKUP(A35:A70,[2]TDSheet!$A$6:$L$44,12,)</f>
        <v>62</v>
      </c>
      <c r="P35" s="7" t="e">
        <f t="shared" si="3"/>
        <v>#DIV/0!</v>
      </c>
      <c r="Q35" s="10">
        <f>VLOOKUP(A35:A70,[2]TDSheet!$A$6:$K$44,11,)</f>
        <v>0</v>
      </c>
      <c r="R35" s="8">
        <f>VLOOKUP(A35:A70,[1]TDSheet!$A$6:$O$43,15,)</f>
        <v>1</v>
      </c>
      <c r="S35" s="9">
        <f>VLOOKUP(A35:A70,[2]TDSheet!$A$6:$O$44,15,)</f>
        <v>12</v>
      </c>
      <c r="T35" s="7">
        <f t="shared" si="4"/>
        <v>12</v>
      </c>
      <c r="U35" s="10">
        <f>VLOOKUP(A35:A70,[2]TDSheet!$A$6:$N$44,14,)</f>
        <v>16</v>
      </c>
      <c r="V35" s="8">
        <f>VLOOKUP(A35:A70,[1]TDSheet!$A$6:$R$43,18)</f>
        <v>0</v>
      </c>
      <c r="W35" s="9">
        <f>VLOOKUP(A35:A70,[2]TDSheet!$A$6:$R$44,18,)</f>
        <v>13</v>
      </c>
      <c r="X35" s="7" t="e">
        <f t="shared" si="5"/>
        <v>#DIV/0!</v>
      </c>
      <c r="Y35" s="10">
        <f>VLOOKUP(A35:A70,[2]TDSheet!$A$6:$Q$44,17,)</f>
        <v>9</v>
      </c>
      <c r="Z35" s="8">
        <f>VLOOKUP(A35:A70,[1]TDSheet!$A$6:$U$44,21,)</f>
        <v>1</v>
      </c>
      <c r="AA35" s="9">
        <f>VLOOKUP(A35:A70,[2]TDSheet!$A$6:$U$44,21,)</f>
        <v>14</v>
      </c>
      <c r="AB35" s="7">
        <f t="shared" si="6"/>
        <v>14</v>
      </c>
      <c r="AC35" s="10">
        <f>VLOOKUP(A35:A70,[2]TDSheet!$A$6:$T$44,20,)</f>
        <v>1</v>
      </c>
      <c r="AD35" s="8">
        <f>VLOOKUP(A35:A70,[1]TDSheet!$A$6:$X$43,24,)</f>
        <v>15</v>
      </c>
      <c r="AE35" s="9">
        <f>VLOOKUP(A35:A70,[2]TDSheet!$A$6:$X$44,24,)</f>
        <v>31</v>
      </c>
      <c r="AF35" s="7">
        <f t="shared" si="7"/>
        <v>2.0666666666666669</v>
      </c>
      <c r="AG35" s="10">
        <f>VLOOKUP(A35:A70,[2]TDSheet!$A$6:$W$44,23,)</f>
        <v>3</v>
      </c>
      <c r="AH35" s="8">
        <f>VLOOKUP(A35:A70,[1]TDSheet!$A$6:$AA$43,27,)</f>
        <v>0</v>
      </c>
      <c r="AI35" s="9">
        <f>VLOOKUP(A35:A70,[2]TDSheet!$A$6:$AA$44,27,)</f>
        <v>3.21</v>
      </c>
      <c r="AJ35" s="7" t="e">
        <f t="shared" si="8"/>
        <v>#DIV/0!</v>
      </c>
      <c r="AK35" s="10">
        <f>VLOOKUP(A35:A70,[2]TDSheet!$A$6:$Z$44,26,)</f>
        <v>0</v>
      </c>
      <c r="AL35" s="8">
        <f>VLOOKUP(A35:A70,[1]TDSheet!$A$6:$AD$43,30,)</f>
        <v>1</v>
      </c>
      <c r="AM35" s="9">
        <f>VLOOKUP(A35:A70,[2]TDSheet!$A$6:$AD$44,30,)</f>
        <v>17</v>
      </c>
      <c r="AN35" s="7">
        <f t="shared" si="9"/>
        <v>17</v>
      </c>
      <c r="AO35" s="10">
        <f>VLOOKUP(A35:A70,[2]TDSheet!$A$6:$AC$44,29,)</f>
        <v>21</v>
      </c>
      <c r="AP35" s="8">
        <f>VLOOKUP(A35:A70,[1]TDSheet!$A$6:$AG$43,33,)</f>
        <v>0</v>
      </c>
      <c r="AQ35" s="9">
        <f>VLOOKUP(A35:A70,[2]TDSheet!$A$6:$AG$44,33,)</f>
        <v>18</v>
      </c>
      <c r="AR35" s="7" t="e">
        <f t="shared" si="10"/>
        <v>#DIV/0!</v>
      </c>
      <c r="AS35" s="10">
        <f>VLOOKUP(A35:A70,[2]TDSheet!$A$6:$AF$44,32,)</f>
        <v>10</v>
      </c>
      <c r="AT35" s="8">
        <f>VLOOKUP(A35:A70,[1]TDSheet!$A$6:$AJ$43,36,)</f>
        <v>0.94599999999999995</v>
      </c>
      <c r="AU35" s="9">
        <f>VLOOKUP(A35:A70,[2]TDSheet!$A$6:$AJ$44,36,)</f>
        <v>3.1080000000000001</v>
      </c>
      <c r="AV35" s="7">
        <f t="shared" si="11"/>
        <v>3.2854122621564485</v>
      </c>
      <c r="AW35" s="10">
        <f>VLOOKUP(A35:A70,[2]TDSheet!$A$6:$AI$44,35)</f>
        <v>0.79400000000000004</v>
      </c>
      <c r="AX35" s="8">
        <f>VLOOKUP(A35:A70,[1]TDSheet!$A$6:$AM$43,39,)</f>
        <v>0.14399999999999999</v>
      </c>
      <c r="AY35" s="29">
        <f>VLOOKUP(A35:A70,[2]TDSheet!$A$6:$AM$44,39,)</f>
        <v>1.5820000000000001</v>
      </c>
      <c r="AZ35" s="7">
        <f t="shared" si="12"/>
        <v>10.986111111111112</v>
      </c>
      <c r="BA35" s="30">
        <f>VLOOKUP(A35:A70,[2]TDSheet!$A$6:$AL$44,38,)</f>
        <v>25.542000000000002</v>
      </c>
    </row>
    <row r="36" spans="1:53" ht="10.9" customHeight="1" x14ac:dyDescent="0.2">
      <c r="A36" s="2" t="s">
        <v>34</v>
      </c>
      <c r="B36" s="8">
        <f>VLOOKUP(A36:A71,[1]TDSheet!$A$6:$C$43,3,)</f>
        <v>1.1339999999999999</v>
      </c>
      <c r="C36" s="9">
        <f>VLOOKUP(A36:A71,[2]TDSheet!$A$6:$C$44,3,)</f>
        <v>1.87</v>
      </c>
      <c r="D36" s="7">
        <f t="shared" si="0"/>
        <v>1.6490299823633159</v>
      </c>
      <c r="E36" s="10">
        <f>VLOOKUP(A36:A71,[2]TDSheet!$A$6:$B$44,2,)</f>
        <v>4.0000000000000001E-3</v>
      </c>
      <c r="F36" s="8">
        <f>VLOOKUP(A36:A71,[1]TDSheet!$A$6:$F$43,6,)</f>
        <v>0</v>
      </c>
      <c r="G36" s="9">
        <f>VLOOKUP(A36:A71,[2]TDSheet!$A$6:$F$44,6,)</f>
        <v>0</v>
      </c>
      <c r="H36" s="7" t="e">
        <f t="shared" si="1"/>
        <v>#DIV/0!</v>
      </c>
      <c r="I36" s="28">
        <f>VLOOKUP(A36:A71,[2]TDSheet!$A$6:$E$44,5,)</f>
        <v>0</v>
      </c>
      <c r="J36" s="8">
        <f>VLOOKUP(A36:A71,[1]TDSheet!$A$6:$I$43,9,)</f>
        <v>0</v>
      </c>
      <c r="K36" s="9">
        <f>VLOOKUP(A36:A71,[2]TDSheet!$A$6:$I$44,9,)</f>
        <v>50</v>
      </c>
      <c r="L36" s="7" t="e">
        <f t="shared" si="2"/>
        <v>#DIV/0!</v>
      </c>
      <c r="M36" s="10">
        <f>VLOOKUP(A36:A71,[2]TDSheet!$A$6:$H$44,8,)</f>
        <v>17</v>
      </c>
      <c r="N36" s="8">
        <f>VLOOKUP(A36:A71,[1]TDSheet!$A$6:$L$43,12,)</f>
        <v>4</v>
      </c>
      <c r="O36" s="9">
        <f>VLOOKUP(A36:A71,[2]TDSheet!$A$6:$L$44,12,)</f>
        <v>93</v>
      </c>
      <c r="P36" s="7">
        <f t="shared" si="3"/>
        <v>23.25</v>
      </c>
      <c r="Q36" s="10">
        <f>VLOOKUP(A36:A71,[2]TDSheet!$A$6:$K$44,11,)</f>
        <v>5</v>
      </c>
      <c r="R36" s="8">
        <f>VLOOKUP(A36:A71,[1]TDSheet!$A$6:$O$43,15,)</f>
        <v>2</v>
      </c>
      <c r="S36" s="9">
        <f>VLOOKUP(A36:A71,[2]TDSheet!$A$6:$O$44,15,)</f>
        <v>18</v>
      </c>
      <c r="T36" s="7">
        <f t="shared" si="4"/>
        <v>9</v>
      </c>
      <c r="U36" s="10">
        <f>VLOOKUP(A36:A71,[2]TDSheet!$A$6:$N$44,14,)</f>
        <v>177</v>
      </c>
      <c r="V36" s="8">
        <f>VLOOKUP(A36:A71,[1]TDSheet!$A$6:$R$43,18)</f>
        <v>3</v>
      </c>
      <c r="W36" s="9">
        <f>VLOOKUP(A36:A71,[2]TDSheet!$A$6:$R$44,18,)</f>
        <v>19</v>
      </c>
      <c r="X36" s="7">
        <f t="shared" si="5"/>
        <v>6.333333333333333</v>
      </c>
      <c r="Y36" s="10">
        <f>VLOOKUP(A36:A71,[2]TDSheet!$A$6:$Q$44,17,)</f>
        <v>5</v>
      </c>
      <c r="Z36" s="8">
        <f>VLOOKUP(A36:A71,[1]TDSheet!$A$6:$U$44,21,)</f>
        <v>1</v>
      </c>
      <c r="AA36" s="9">
        <f>VLOOKUP(A36:A71,[2]TDSheet!$A$6:$U$44,21,)</f>
        <v>16</v>
      </c>
      <c r="AB36" s="7">
        <f t="shared" si="6"/>
        <v>16</v>
      </c>
      <c r="AC36" s="10">
        <f>VLOOKUP(A36:A71,[2]TDSheet!$A$6:$T$44,20,)</f>
        <v>1</v>
      </c>
      <c r="AD36" s="8">
        <f>VLOOKUP(A36:A71,[1]TDSheet!$A$6:$X$43,24,)</f>
        <v>30</v>
      </c>
      <c r="AE36" s="9">
        <f>VLOOKUP(A36:A71,[2]TDSheet!$A$6:$X$44,24,)</f>
        <v>234</v>
      </c>
      <c r="AF36" s="7">
        <f t="shared" si="7"/>
        <v>7.8</v>
      </c>
      <c r="AG36" s="10">
        <f>VLOOKUP(A36:A71,[2]TDSheet!$A$6:$W$44,23,)</f>
        <v>-160</v>
      </c>
      <c r="AH36" s="8">
        <f>VLOOKUP(A36:A71,[1]TDSheet!$A$6:$AA$43,27,)</f>
        <v>0</v>
      </c>
      <c r="AI36" s="9">
        <f>VLOOKUP(A36:A71,[2]TDSheet!$A$6:$AA$44,27,)</f>
        <v>1.556</v>
      </c>
      <c r="AJ36" s="7" t="e">
        <f t="shared" si="8"/>
        <v>#DIV/0!</v>
      </c>
      <c r="AK36" s="10">
        <f>VLOOKUP(A36:A71,[2]TDSheet!$A$6:$Z$44,26,)</f>
        <v>0.39400000000000002</v>
      </c>
      <c r="AL36" s="8">
        <f>VLOOKUP(A36:A71,[1]TDSheet!$A$6:$AD$43,30,)</f>
        <v>1</v>
      </c>
      <c r="AM36" s="9">
        <f>VLOOKUP(A36:A71,[2]TDSheet!$A$6:$AD$44,30,)</f>
        <v>14</v>
      </c>
      <c r="AN36" s="7">
        <f t="shared" si="9"/>
        <v>14</v>
      </c>
      <c r="AO36" s="10">
        <f>VLOOKUP(A36:A71,[2]TDSheet!$A$6:$AC$44,29,)</f>
        <v>32</v>
      </c>
      <c r="AP36" s="8">
        <f>VLOOKUP(A36:A71,[1]TDSheet!$A$6:$AG$43,33,)</f>
        <v>6</v>
      </c>
      <c r="AQ36" s="9">
        <f>VLOOKUP(A36:A71,[2]TDSheet!$A$6:$AG$44,33,)</f>
        <v>58</v>
      </c>
      <c r="AR36" s="7">
        <f t="shared" si="10"/>
        <v>9.6666666666666661</v>
      </c>
      <c r="AS36" s="10">
        <f>VLOOKUP(A36:A71,[2]TDSheet!$A$6:$AF$44,32,)</f>
        <v>32</v>
      </c>
      <c r="AT36" s="8">
        <f>VLOOKUP(A36:A71,[1]TDSheet!$A$6:$AJ$43,36,)</f>
        <v>0.49199999999999999</v>
      </c>
      <c r="AU36" s="9">
        <f>VLOOKUP(A36:A71,[2]TDSheet!$A$6:$AJ$44,36,)</f>
        <v>5.8579999999999997</v>
      </c>
      <c r="AV36" s="7">
        <f t="shared" si="11"/>
        <v>11.90650406504065</v>
      </c>
      <c r="AW36" s="10">
        <f>VLOOKUP(A36:A71,[2]TDSheet!$A$6:$AI$44,35)</f>
        <v>0.44600000000000001</v>
      </c>
      <c r="AX36" s="8">
        <f>VLOOKUP(A36:A71,[1]TDSheet!$A$6:$AM$43,39,)</f>
        <v>0.78800000000000003</v>
      </c>
      <c r="AY36" s="29">
        <f>VLOOKUP(A36:A71,[2]TDSheet!$A$6:$AM$44,39,)</f>
        <v>11.678000000000001</v>
      </c>
      <c r="AZ36" s="7">
        <f t="shared" si="12"/>
        <v>14.819796954314722</v>
      </c>
      <c r="BA36" s="30">
        <f>VLOOKUP(A36:A71,[2]TDSheet!$A$6:$AL$44,38,)</f>
        <v>27.556000000000001</v>
      </c>
    </row>
    <row r="37" spans="1:53" ht="10.9" customHeight="1" x14ac:dyDescent="0.2">
      <c r="A37" s="2" t="s">
        <v>35</v>
      </c>
      <c r="B37" s="8">
        <f>VLOOKUP(A37:A72,[1]TDSheet!$A$6:$C$43,3,)</f>
        <v>2.5139999999999998</v>
      </c>
      <c r="C37" s="9">
        <f>VLOOKUP(A37:A72,[2]TDSheet!$A$6:$C$44,3,)</f>
        <v>1.36</v>
      </c>
      <c r="D37" s="7">
        <f t="shared" si="0"/>
        <v>0.54097056483691341</v>
      </c>
      <c r="E37" s="10">
        <f>VLOOKUP(A37:A72,[2]TDSheet!$A$6:$B$44,2,)</f>
        <v>1.6220000000000001</v>
      </c>
      <c r="F37" s="8">
        <f>VLOOKUP(A37:A72,[1]TDSheet!$A$6:$F$43,6,)</f>
        <v>0</v>
      </c>
      <c r="G37" s="9">
        <f>VLOOKUP(A37:A72,[2]TDSheet!$A$6:$F$44,6,)</f>
        <v>1.752</v>
      </c>
      <c r="H37" s="7" t="e">
        <f t="shared" si="1"/>
        <v>#DIV/0!</v>
      </c>
      <c r="I37" s="28">
        <f>VLOOKUP(A37:A72,[2]TDSheet!$A$6:$E$44,5,)</f>
        <v>-0.02</v>
      </c>
      <c r="J37" s="8">
        <f>VLOOKUP(A37:A72,[1]TDSheet!$A$6:$I$43,9,)</f>
        <v>0</v>
      </c>
      <c r="K37" s="9">
        <f>VLOOKUP(A37:A72,[2]TDSheet!$A$6:$I$44,9,)</f>
        <v>6</v>
      </c>
      <c r="L37" s="7" t="e">
        <f t="shared" si="2"/>
        <v>#DIV/0!</v>
      </c>
      <c r="M37" s="10">
        <f>VLOOKUP(A37:A72,[2]TDSheet!$A$6:$H$44,8,)</f>
        <v>27</v>
      </c>
      <c r="N37" s="8">
        <f>VLOOKUP(A37:A72,[1]TDSheet!$A$6:$L$43,12,)</f>
        <v>0</v>
      </c>
      <c r="O37" s="9">
        <f>VLOOKUP(A37:A72,[2]TDSheet!$A$6:$L$44,12,)</f>
        <v>17</v>
      </c>
      <c r="P37" s="7" t="e">
        <f t="shared" si="3"/>
        <v>#DIV/0!</v>
      </c>
      <c r="Q37" s="10">
        <f>VLOOKUP(A37:A72,[2]TDSheet!$A$6:$K$44,11,)</f>
        <v>22</v>
      </c>
      <c r="R37" s="8">
        <f>VLOOKUP(A37:A72,[1]TDSheet!$A$6:$O$43,15,)</f>
        <v>1</v>
      </c>
      <c r="S37" s="9">
        <f>VLOOKUP(A37:A72,[2]TDSheet!$A$6:$O$44,15,)</f>
        <v>11</v>
      </c>
      <c r="T37" s="7">
        <f t="shared" si="4"/>
        <v>11</v>
      </c>
      <c r="U37" s="10">
        <f>VLOOKUP(A37:A72,[2]TDSheet!$A$6:$N$44,14,)</f>
        <v>35</v>
      </c>
      <c r="V37" s="8">
        <f>VLOOKUP(A37:A72,[1]TDSheet!$A$6:$R$43,18)</f>
        <v>1</v>
      </c>
      <c r="W37" s="9">
        <f>VLOOKUP(A37:A72,[2]TDSheet!$A$6:$R$44,18,)</f>
        <v>9</v>
      </c>
      <c r="X37" s="7">
        <f t="shared" si="5"/>
        <v>9</v>
      </c>
      <c r="Y37" s="10">
        <f>VLOOKUP(A37:A72,[2]TDSheet!$A$6:$Q$44,17,)</f>
        <v>23</v>
      </c>
      <c r="Z37" s="8">
        <f>VLOOKUP(A37:A72,[1]TDSheet!$A$6:$U$44,21,)</f>
        <v>1</v>
      </c>
      <c r="AA37" s="9">
        <f>VLOOKUP(A37:A72,[2]TDSheet!$A$6:$U$44,21,)</f>
        <v>6</v>
      </c>
      <c r="AB37" s="7">
        <f t="shared" si="6"/>
        <v>6</v>
      </c>
      <c r="AC37" s="10">
        <f>VLOOKUP(A37:A72,[2]TDSheet!$A$6:$T$44,20,)</f>
        <v>14</v>
      </c>
      <c r="AD37" s="8">
        <f>VLOOKUP(A37:A72,[1]TDSheet!$A$6:$X$43,24,)</f>
        <v>11</v>
      </c>
      <c r="AE37" s="9">
        <f>VLOOKUP(A37:A72,[2]TDSheet!$A$6:$X$44,24,)</f>
        <v>24</v>
      </c>
      <c r="AF37" s="7">
        <f t="shared" si="7"/>
        <v>2.1818181818181817</v>
      </c>
      <c r="AG37" s="10">
        <f>VLOOKUP(A37:A72,[2]TDSheet!$A$6:$W$44,23,)</f>
        <v>3</v>
      </c>
      <c r="AH37" s="8">
        <f>VLOOKUP(A37:A72,[1]TDSheet!$A$6:$AA$43,27,)</f>
        <v>0</v>
      </c>
      <c r="AI37" s="9">
        <f>VLOOKUP(A37:A72,[2]TDSheet!$A$6:$AA$44,27,)</f>
        <v>0</v>
      </c>
      <c r="AJ37" s="7" t="e">
        <f t="shared" si="8"/>
        <v>#DIV/0!</v>
      </c>
      <c r="AK37" s="10">
        <f>VLOOKUP(A37:A72,[2]TDSheet!$A$6:$Z$44,26,)</f>
        <v>0.79800000000000004</v>
      </c>
      <c r="AL37" s="8">
        <f>VLOOKUP(A37:A72,[1]TDSheet!$A$6:$AD$43,30,)</f>
        <v>1</v>
      </c>
      <c r="AM37" s="9">
        <f>VLOOKUP(A37:A72,[2]TDSheet!$A$6:$AD$44,30,)</f>
        <v>4</v>
      </c>
      <c r="AN37" s="7">
        <f t="shared" si="9"/>
        <v>4</v>
      </c>
      <c r="AO37" s="10">
        <f>VLOOKUP(A37:A72,[2]TDSheet!$A$6:$AC$44,29,)</f>
        <v>36</v>
      </c>
      <c r="AP37" s="8">
        <f>VLOOKUP(A37:A72,[1]TDSheet!$A$6:$AG$43,33,)</f>
        <v>1</v>
      </c>
      <c r="AQ37" s="9">
        <f>VLOOKUP(A37:A72,[2]TDSheet!$A$6:$AG$44,33,)</f>
        <v>11</v>
      </c>
      <c r="AR37" s="7">
        <f t="shared" si="10"/>
        <v>11</v>
      </c>
      <c r="AS37" s="10">
        <f>VLOOKUP(A37:A72,[2]TDSheet!$A$6:$AF$44,32,)</f>
        <v>13</v>
      </c>
      <c r="AT37" s="8">
        <f>VLOOKUP(A37:A72,[1]TDSheet!$A$6:$AJ$43,36,)</f>
        <v>0</v>
      </c>
      <c r="AU37" s="9">
        <f>VLOOKUP(A37:A72,[2]TDSheet!$A$6:$AJ$44,36,)</f>
        <v>3.0379999999999998</v>
      </c>
      <c r="AV37" s="7" t="e">
        <f t="shared" si="11"/>
        <v>#DIV/0!</v>
      </c>
      <c r="AW37" s="10">
        <f>VLOOKUP(A37:A72,[2]TDSheet!$A$6:$AI$44,35)</f>
        <v>0.502</v>
      </c>
      <c r="AX37" s="8">
        <f>VLOOKUP(A37:A72,[1]TDSheet!$A$6:$AM$43,39,)</f>
        <v>0.21199999999999999</v>
      </c>
      <c r="AY37" s="29">
        <f>VLOOKUP(A37:A72,[2]TDSheet!$A$6:$AM$44,39,)</f>
        <v>2.8359999999999999</v>
      </c>
      <c r="AZ37" s="7">
        <f t="shared" si="12"/>
        <v>13.377358490566037</v>
      </c>
      <c r="BA37" s="30">
        <f>VLOOKUP(A37:A72,[2]TDSheet!$A$6:$AL$44,38,)</f>
        <v>27.486000000000001</v>
      </c>
    </row>
    <row r="38" spans="1:53" ht="10.9" customHeight="1" x14ac:dyDescent="0.2">
      <c r="A38" s="2" t="s">
        <v>36</v>
      </c>
      <c r="B38" s="8">
        <f>VLOOKUP(A38:A73,[1]TDSheet!$A$6:$C$43,3,)</f>
        <v>2.794</v>
      </c>
      <c r="C38" s="9">
        <f>VLOOKUP(A38:A73,[2]TDSheet!$A$6:$C$44,3,)</f>
        <v>4.3520000000000003</v>
      </c>
      <c r="D38" s="7">
        <f t="shared" si="0"/>
        <v>1.5576234788833214</v>
      </c>
      <c r="E38" s="10">
        <f>VLOOKUP(A38:A73,[2]TDSheet!$A$6:$B$44,2,)</f>
        <v>0.52400000000000002</v>
      </c>
      <c r="F38" s="8">
        <f>VLOOKUP(A38:A73,[1]TDSheet!$A$6:$F$43,6,)</f>
        <v>5.6000000000000001E-2</v>
      </c>
      <c r="G38" s="9">
        <f>VLOOKUP(A38:A73,[2]TDSheet!$A$6:$F$44,6,)</f>
        <v>1.44</v>
      </c>
      <c r="H38" s="7">
        <f t="shared" si="1"/>
        <v>25.714285714285712</v>
      </c>
      <c r="I38" s="28">
        <f>VLOOKUP(A38:A73,[2]TDSheet!$A$6:$E$44,5,)</f>
        <v>0</v>
      </c>
      <c r="J38" s="8">
        <f>VLOOKUP(A38:A73,[1]TDSheet!$A$6:$I$43,9,)</f>
        <v>1</v>
      </c>
      <c r="K38" s="9">
        <f>VLOOKUP(A38:A73,[2]TDSheet!$A$6:$I$44,9,)</f>
        <v>30</v>
      </c>
      <c r="L38" s="7">
        <f t="shared" si="2"/>
        <v>30</v>
      </c>
      <c r="M38" s="10">
        <f>VLOOKUP(A38:A73,[2]TDSheet!$A$6:$H$44,8,)</f>
        <v>0</v>
      </c>
      <c r="N38" s="8">
        <f>VLOOKUP(A38:A73,[1]TDSheet!$A$6:$L$43,12,)</f>
        <v>2</v>
      </c>
      <c r="O38" s="9">
        <f>VLOOKUP(A38:A73,[2]TDSheet!$A$6:$L$44,12,)</f>
        <v>80</v>
      </c>
      <c r="P38" s="7">
        <f t="shared" si="3"/>
        <v>40</v>
      </c>
      <c r="Q38" s="10">
        <f>VLOOKUP(A38:A73,[2]TDSheet!$A$6:$K$44,11,)</f>
        <v>12</v>
      </c>
      <c r="R38" s="8">
        <f>VLOOKUP(A38:A73,[1]TDSheet!$A$6:$O$43,15,)</f>
        <v>4</v>
      </c>
      <c r="S38" s="9">
        <f>VLOOKUP(A38:A73,[2]TDSheet!$A$6:$O$44,15,)</f>
        <v>14</v>
      </c>
      <c r="T38" s="7">
        <f t="shared" si="4"/>
        <v>3.5</v>
      </c>
      <c r="U38" s="10">
        <f>VLOOKUP(A38:A73,[2]TDSheet!$A$6:$N$44,14,)</f>
        <v>103</v>
      </c>
      <c r="V38" s="8">
        <f>VLOOKUP(A38:A73,[1]TDSheet!$A$6:$R$43,18)</f>
        <v>0</v>
      </c>
      <c r="W38" s="9">
        <f>VLOOKUP(A38:A73,[2]TDSheet!$A$6:$R$44,18,)</f>
        <v>16</v>
      </c>
      <c r="X38" s="7" t="e">
        <f t="shared" si="5"/>
        <v>#DIV/0!</v>
      </c>
      <c r="Y38" s="10">
        <f>VLOOKUP(A38:A73,[2]TDSheet!$A$6:$Q$44,17,)</f>
        <v>29</v>
      </c>
      <c r="Z38" s="8">
        <f>VLOOKUP(A38:A73,[1]TDSheet!$A$6:$U$44,21,)</f>
        <v>3</v>
      </c>
      <c r="AA38" s="9">
        <f>VLOOKUP(A38:A73,[2]TDSheet!$A$6:$U$44,21,)</f>
        <v>16</v>
      </c>
      <c r="AB38" s="7">
        <f t="shared" si="6"/>
        <v>5.333333333333333</v>
      </c>
      <c r="AC38" s="10">
        <f>VLOOKUP(A38:A73,[2]TDSheet!$A$6:$T$44,20,)</f>
        <v>1</v>
      </c>
      <c r="AD38" s="8">
        <f>VLOOKUP(A38:A73,[1]TDSheet!$A$6:$X$43,24,)</f>
        <v>27</v>
      </c>
      <c r="AE38" s="9">
        <f>VLOOKUP(A38:A73,[2]TDSheet!$A$6:$X$44,24,)</f>
        <v>101</v>
      </c>
      <c r="AF38" s="7">
        <f t="shared" si="7"/>
        <v>3.7407407407407409</v>
      </c>
      <c r="AG38" s="10">
        <f>VLOOKUP(A38:A73,[2]TDSheet!$A$6:$W$44,23,)</f>
        <v>25</v>
      </c>
      <c r="AH38" s="8">
        <f>VLOOKUP(A38:A73,[1]TDSheet!$A$6:$AA$43,27,)</f>
        <v>0.39</v>
      </c>
      <c r="AI38" s="9">
        <f>VLOOKUP(A38:A73,[2]TDSheet!$A$6:$AA$44,27,)</f>
        <v>3.1560000000000001</v>
      </c>
      <c r="AJ38" s="7">
        <f t="shared" si="8"/>
        <v>8.092307692307692</v>
      </c>
      <c r="AK38" s="10">
        <f>VLOOKUP(A38:A73,[2]TDSheet!$A$6:$Z$44,26,)</f>
        <v>0.20200000000000001</v>
      </c>
      <c r="AL38" s="8">
        <f>VLOOKUP(A38:A73,[1]TDSheet!$A$6:$AD$43,30,)</f>
        <v>1</v>
      </c>
      <c r="AM38" s="9">
        <f>VLOOKUP(A38:A73,[2]TDSheet!$A$6:$AD$44,30,)</f>
        <v>17</v>
      </c>
      <c r="AN38" s="7">
        <f t="shared" si="9"/>
        <v>17</v>
      </c>
      <c r="AO38" s="10">
        <f>VLOOKUP(A38:A73,[2]TDSheet!$A$6:$AC$44,29,)</f>
        <v>22</v>
      </c>
      <c r="AP38" s="8">
        <f>VLOOKUP(A38:A73,[1]TDSheet!$A$6:$AG$43,33,)</f>
        <v>1</v>
      </c>
      <c r="AQ38" s="9">
        <f>VLOOKUP(A38:A73,[2]TDSheet!$A$6:$AG$44,33,)</f>
        <v>13</v>
      </c>
      <c r="AR38" s="7">
        <f t="shared" si="10"/>
        <v>13</v>
      </c>
      <c r="AS38" s="10">
        <f>VLOOKUP(A38:A73,[2]TDSheet!$A$6:$AF$44,32,)</f>
        <v>27</v>
      </c>
      <c r="AT38" s="8">
        <f>VLOOKUP(A38:A73,[1]TDSheet!$A$6:$AJ$43,36,)</f>
        <v>4.9580000000000002</v>
      </c>
      <c r="AU38" s="9">
        <f>VLOOKUP(A38:A73,[2]TDSheet!$A$6:$AJ$44,36,)</f>
        <v>17.968</v>
      </c>
      <c r="AV38" s="7">
        <f t="shared" si="11"/>
        <v>3.624041952400161</v>
      </c>
      <c r="AW38" s="10">
        <f>VLOOKUP(A38:A73,[2]TDSheet!$A$6:$AI$44,35)</f>
        <v>-5.6000000000000001E-2</v>
      </c>
      <c r="AX38" s="8">
        <f>VLOOKUP(A38:A73,[1]TDSheet!$A$6:$AM$43,39,)</f>
        <v>0.98</v>
      </c>
      <c r="AY38" s="29">
        <f>VLOOKUP(A38:A73,[2]TDSheet!$A$6:$AM$44,39,)</f>
        <v>9.5039999999999996</v>
      </c>
      <c r="AZ38" s="7">
        <f t="shared" si="12"/>
        <v>9.6979591836734684</v>
      </c>
      <c r="BA38" s="30">
        <f>VLOOKUP(A38:A73,[2]TDSheet!$A$6:$AL$44,38,)</f>
        <v>30.92</v>
      </c>
    </row>
    <row r="39" spans="1:53" ht="10.9" customHeight="1" x14ac:dyDescent="0.2">
      <c r="A39" s="2" t="s">
        <v>37</v>
      </c>
      <c r="B39" s="8">
        <f>VLOOKUP(A39:A74,[1]TDSheet!$A$6:$C$43,3,)</f>
        <v>1.274</v>
      </c>
      <c r="C39" s="9">
        <f>VLOOKUP(A39:A74,[2]TDSheet!$A$6:$C$44,3,)</f>
        <v>2.3940000000000001</v>
      </c>
      <c r="D39" s="7">
        <f t="shared" si="0"/>
        <v>1.8791208791208791</v>
      </c>
      <c r="E39" s="10">
        <f>VLOOKUP(A39:A74,[2]TDSheet!$A$6:$B$44,2,)</f>
        <v>1.294</v>
      </c>
      <c r="F39" s="8">
        <f>VLOOKUP(A39:A74,[1]TDSheet!$A$6:$F$43,6,)</f>
        <v>0</v>
      </c>
      <c r="G39" s="9">
        <f>VLOOKUP(A39:A74,[2]TDSheet!$A$6:$F$44,6,)</f>
        <v>3.5579999999999998</v>
      </c>
      <c r="H39" s="7" t="e">
        <f t="shared" si="1"/>
        <v>#DIV/0!</v>
      </c>
      <c r="I39" s="28">
        <f>VLOOKUP(A39:A74,[2]TDSheet!$A$6:$E$44,5,)</f>
        <v>0</v>
      </c>
      <c r="J39" s="8">
        <f>VLOOKUP(A39:A74,[1]TDSheet!$A$6:$I$43,9,)</f>
        <v>0</v>
      </c>
      <c r="K39" s="9">
        <f>VLOOKUP(A39:A74,[2]TDSheet!$A$6:$I$44,9,)</f>
        <v>11</v>
      </c>
      <c r="L39" s="7" t="e">
        <f t="shared" si="2"/>
        <v>#DIV/0!</v>
      </c>
      <c r="M39" s="10">
        <f>VLOOKUP(A39:A74,[2]TDSheet!$A$6:$H$44,8,)</f>
        <v>12</v>
      </c>
      <c r="N39" s="8">
        <f>VLOOKUP(A39:A74,[1]TDSheet!$A$6:$L$43,12,)</f>
        <v>3</v>
      </c>
      <c r="O39" s="9">
        <f>VLOOKUP(A39:A74,[2]TDSheet!$A$6:$L$44,12,)</f>
        <v>98</v>
      </c>
      <c r="P39" s="7">
        <f t="shared" si="3"/>
        <v>32.666666666666664</v>
      </c>
      <c r="Q39" s="10">
        <f>VLOOKUP(A39:A74,[2]TDSheet!$A$6:$K$44,11,)</f>
        <v>0</v>
      </c>
      <c r="R39" s="8">
        <f>VLOOKUP(A39:A74,[1]TDSheet!$A$6:$O$43,15,)</f>
        <v>1</v>
      </c>
      <c r="S39" s="9">
        <f>VLOOKUP(A39:A74,[2]TDSheet!$A$6:$O$44,15,)</f>
        <v>9</v>
      </c>
      <c r="T39" s="7">
        <f t="shared" si="4"/>
        <v>9</v>
      </c>
      <c r="U39" s="10">
        <f>VLOOKUP(A39:A74,[2]TDSheet!$A$6:$N$44,14,)</f>
        <v>186</v>
      </c>
      <c r="V39" s="8">
        <f>VLOOKUP(A39:A74,[1]TDSheet!$A$6:$R$43,18)</f>
        <v>0</v>
      </c>
      <c r="W39" s="9">
        <f>VLOOKUP(A39:A74,[2]TDSheet!$A$6:$R$44,18,)</f>
        <v>10</v>
      </c>
      <c r="X39" s="7" t="e">
        <f t="shared" si="5"/>
        <v>#DIV/0!</v>
      </c>
      <c r="Y39" s="10">
        <f>VLOOKUP(A39:A74,[2]TDSheet!$A$6:$Q$44,17,)</f>
        <v>12</v>
      </c>
      <c r="Z39" s="8">
        <f>VLOOKUP(A39:A74,[1]TDSheet!$A$6:$U$44,21,)</f>
        <v>3</v>
      </c>
      <c r="AA39" s="9">
        <f>VLOOKUP(A39:A74,[2]TDSheet!$A$6:$U$44,21,)</f>
        <v>14</v>
      </c>
      <c r="AB39" s="7">
        <f t="shared" si="6"/>
        <v>4.666666666666667</v>
      </c>
      <c r="AC39" s="10">
        <f>VLOOKUP(A39:A74,[2]TDSheet!$A$6:$T$44,20,)</f>
        <v>5</v>
      </c>
      <c r="AD39" s="8">
        <f>VLOOKUP(A39:A74,[1]TDSheet!$A$6:$X$43,24,)</f>
        <v>6</v>
      </c>
      <c r="AE39" s="9">
        <f>VLOOKUP(A39:A74,[2]TDSheet!$A$6:$X$44,24,)</f>
        <v>70</v>
      </c>
      <c r="AF39" s="7">
        <f t="shared" si="7"/>
        <v>11.666666666666666</v>
      </c>
      <c r="AG39" s="10">
        <f>VLOOKUP(A39:A74,[2]TDSheet!$A$6:$W$44,23,)</f>
        <v>0</v>
      </c>
      <c r="AH39" s="8">
        <f>VLOOKUP(A39:A74,[1]TDSheet!$A$6:$AA$43,27,)</f>
        <v>0</v>
      </c>
      <c r="AI39" s="9">
        <f>VLOOKUP(A39:A74,[2]TDSheet!$A$6:$AA$44,27,)</f>
        <v>1.234</v>
      </c>
      <c r="AJ39" s="7" t="e">
        <f t="shared" si="8"/>
        <v>#DIV/0!</v>
      </c>
      <c r="AK39" s="10">
        <f>VLOOKUP(A39:A74,[2]TDSheet!$A$6:$Z$44,26,)</f>
        <v>4.3979999999999997</v>
      </c>
      <c r="AL39" s="8">
        <f>VLOOKUP(A39:A74,[1]TDSheet!$A$6:$AD$43,30,)</f>
        <v>0</v>
      </c>
      <c r="AM39" s="9">
        <f>VLOOKUP(A39:A74,[2]TDSheet!$A$6:$AD$44,30,)</f>
        <v>8</v>
      </c>
      <c r="AN39" s="7" t="e">
        <f t="shared" si="9"/>
        <v>#DIV/0!</v>
      </c>
      <c r="AO39" s="10">
        <f>VLOOKUP(A39:A74,[2]TDSheet!$A$6:$AC$44,29,)</f>
        <v>25</v>
      </c>
      <c r="AP39" s="8">
        <f>VLOOKUP(A39:A74,[1]TDSheet!$A$6:$AG$43,33,)</f>
        <v>0</v>
      </c>
      <c r="AQ39" s="9">
        <f>VLOOKUP(A39:A74,[2]TDSheet!$A$6:$AG$44,33,)</f>
        <v>11</v>
      </c>
      <c r="AR39" s="7" t="e">
        <f t="shared" si="10"/>
        <v>#DIV/0!</v>
      </c>
      <c r="AS39" s="10">
        <f>VLOOKUP(A39:A74,[2]TDSheet!$A$6:$AF$44,32,)</f>
        <v>24</v>
      </c>
      <c r="AT39" s="8">
        <f>VLOOKUP(A39:A74,[1]TDSheet!$A$6:$AJ$43,36,)</f>
        <v>1.002</v>
      </c>
      <c r="AU39" s="9">
        <f>VLOOKUP(A39:A74,[2]TDSheet!$A$6:$AJ$44,36,)</f>
        <v>5.3</v>
      </c>
      <c r="AV39" s="7">
        <f t="shared" si="11"/>
        <v>5.2894211576846306</v>
      </c>
      <c r="AW39" s="10">
        <f>VLOOKUP(A39:A74,[2]TDSheet!$A$6:$AI$44,35)</f>
        <v>0.996</v>
      </c>
      <c r="AX39" s="8">
        <f>VLOOKUP(A39:A74,[1]TDSheet!$A$6:$AM$43,39,)</f>
        <v>0.106</v>
      </c>
      <c r="AY39" s="29">
        <f>VLOOKUP(A39:A74,[2]TDSheet!$A$6:$AM$44,39,)</f>
        <v>2.42</v>
      </c>
      <c r="AZ39" s="7">
        <f t="shared" si="12"/>
        <v>22.830188679245282</v>
      </c>
      <c r="BA39" s="30">
        <f>VLOOKUP(A39:A74,[2]TDSheet!$A$6:$AL$44,38,)</f>
        <v>27.338000000000001</v>
      </c>
    </row>
    <row r="40" spans="1:53" ht="13.15" customHeight="1" thickBot="1" x14ac:dyDescent="0.25">
      <c r="A40" s="11" t="s">
        <v>1</v>
      </c>
      <c r="B40" s="12">
        <f>SUM(B4:B39)</f>
        <v>78.197999999999993</v>
      </c>
      <c r="C40" s="12">
        <f t="shared" ref="C40:BA40" si="13">SUM(C4:C39)</f>
        <v>135.30799999999999</v>
      </c>
      <c r="D40" s="12" t="e">
        <f t="shared" si="13"/>
        <v>#DIV/0!</v>
      </c>
      <c r="E40" s="12">
        <f t="shared" si="13"/>
        <v>51.669999999999995</v>
      </c>
      <c r="F40" s="12">
        <f t="shared" si="13"/>
        <v>27.884</v>
      </c>
      <c r="G40" s="12">
        <f t="shared" si="13"/>
        <v>129.23599999999999</v>
      </c>
      <c r="H40" s="12" t="e">
        <f t="shared" si="13"/>
        <v>#DIV/0!</v>
      </c>
      <c r="I40" s="12">
        <f t="shared" si="13"/>
        <v>14.173000000000002</v>
      </c>
      <c r="J40" s="12">
        <f t="shared" si="13"/>
        <v>45</v>
      </c>
      <c r="K40" s="12">
        <f t="shared" si="13"/>
        <v>711</v>
      </c>
      <c r="L40" s="12" t="e">
        <f t="shared" si="13"/>
        <v>#DIV/0!</v>
      </c>
      <c r="M40" s="12">
        <f t="shared" si="13"/>
        <v>449</v>
      </c>
      <c r="N40" s="12">
        <f t="shared" si="13"/>
        <v>99</v>
      </c>
      <c r="O40" s="12">
        <f t="shared" si="13"/>
        <v>3878</v>
      </c>
      <c r="P40" s="12" t="e">
        <f t="shared" si="13"/>
        <v>#DIV/0!</v>
      </c>
      <c r="Q40" s="12">
        <f t="shared" si="13"/>
        <v>262</v>
      </c>
      <c r="R40" s="12">
        <f t="shared" si="13"/>
        <v>87</v>
      </c>
      <c r="S40" s="12">
        <f t="shared" si="13"/>
        <v>778</v>
      </c>
      <c r="T40" s="12" t="e">
        <f t="shared" si="13"/>
        <v>#DIV/0!</v>
      </c>
      <c r="U40" s="12">
        <f t="shared" si="13"/>
        <v>4368</v>
      </c>
      <c r="V40" s="12">
        <f t="shared" si="13"/>
        <v>42</v>
      </c>
      <c r="W40" s="12">
        <f t="shared" si="13"/>
        <v>621</v>
      </c>
      <c r="X40" s="12" t="e">
        <f t="shared" si="13"/>
        <v>#DIV/0!</v>
      </c>
      <c r="Y40" s="12">
        <f t="shared" si="13"/>
        <v>455</v>
      </c>
      <c r="Z40" s="12">
        <f t="shared" si="13"/>
        <v>118</v>
      </c>
      <c r="AA40" s="12">
        <f t="shared" si="13"/>
        <v>692</v>
      </c>
      <c r="AB40" s="12" t="e">
        <f t="shared" si="13"/>
        <v>#DIV/0!</v>
      </c>
      <c r="AC40" s="12">
        <f t="shared" si="13"/>
        <v>509</v>
      </c>
      <c r="AD40" s="12">
        <f t="shared" si="13"/>
        <v>279</v>
      </c>
      <c r="AE40" s="12">
        <f t="shared" si="13"/>
        <v>2384</v>
      </c>
      <c r="AF40" s="12" t="e">
        <f t="shared" si="13"/>
        <v>#DIV/0!</v>
      </c>
      <c r="AG40" s="12">
        <f t="shared" si="13"/>
        <v>-224</v>
      </c>
      <c r="AH40" s="12">
        <f t="shared" si="13"/>
        <v>3.94</v>
      </c>
      <c r="AI40" s="12">
        <f t="shared" si="13"/>
        <v>141.73800000000003</v>
      </c>
      <c r="AJ40" s="12" t="e">
        <f t="shared" si="13"/>
        <v>#DIV/0!</v>
      </c>
      <c r="AK40" s="12">
        <f t="shared" si="13"/>
        <v>23.402999999999999</v>
      </c>
      <c r="AL40" s="12">
        <f t="shared" si="13"/>
        <v>76</v>
      </c>
      <c r="AM40" s="12">
        <f t="shared" si="13"/>
        <v>688</v>
      </c>
      <c r="AN40" s="12" t="e">
        <f t="shared" si="13"/>
        <v>#DIV/0!</v>
      </c>
      <c r="AO40" s="12">
        <f t="shared" si="13"/>
        <v>618</v>
      </c>
      <c r="AP40" s="12">
        <f t="shared" si="13"/>
        <v>94</v>
      </c>
      <c r="AQ40" s="12">
        <f t="shared" si="13"/>
        <v>1028</v>
      </c>
      <c r="AR40" s="12" t="e">
        <f t="shared" si="13"/>
        <v>#DIV/0!</v>
      </c>
      <c r="AS40" s="12">
        <f t="shared" si="13"/>
        <v>435</v>
      </c>
      <c r="AT40" s="12">
        <f t="shared" si="13"/>
        <v>86.553999999999974</v>
      </c>
      <c r="AU40" s="12">
        <f t="shared" si="13"/>
        <v>408.96800000000007</v>
      </c>
      <c r="AV40" s="12" t="e">
        <f t="shared" si="13"/>
        <v>#DIV/0!</v>
      </c>
      <c r="AW40" s="12">
        <f t="shared" si="13"/>
        <v>-8.2439999999999998</v>
      </c>
      <c r="AX40" s="12">
        <f t="shared" si="13"/>
        <v>12.174000000000001</v>
      </c>
      <c r="AY40" s="12">
        <f t="shared" si="13"/>
        <v>487.84399999999999</v>
      </c>
      <c r="AZ40" s="12" t="e">
        <f t="shared" si="13"/>
        <v>#DIV/0!</v>
      </c>
      <c r="BA40" s="12">
        <f t="shared" si="13"/>
        <v>628.77800000000002</v>
      </c>
    </row>
  </sheetData>
  <mergeCells count="27"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AL1:AO1"/>
    <mergeCell ref="AP1:AS1"/>
    <mergeCell ref="AT1:AW1"/>
    <mergeCell ref="AX1:BA1"/>
    <mergeCell ref="R1:U1"/>
    <mergeCell ref="V1:Y1"/>
    <mergeCell ref="Z1:AC1"/>
    <mergeCell ref="AD1:AG1"/>
    <mergeCell ref="AH1:AK1"/>
    <mergeCell ref="A1:A3"/>
    <mergeCell ref="B1:E1"/>
    <mergeCell ref="F1:I1"/>
    <mergeCell ref="J1:M1"/>
    <mergeCell ref="N1:Q1"/>
    <mergeCell ref="B2:E2"/>
    <mergeCell ref="F2:I2"/>
    <mergeCell ref="J2:M2"/>
    <mergeCell ref="N2:Q2"/>
  </mergeCells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Кавакін Анатолій Ігорович</cp:lastModifiedBy>
  <dcterms:modified xsi:type="dcterms:W3CDTF">2026-09-08T09:15:23Z</dcterms:modified>
</cp:coreProperties>
</file>