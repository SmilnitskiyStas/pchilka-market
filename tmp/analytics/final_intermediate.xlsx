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0" firstSheet="0" activeTab="0" autoFilterDateGrouping="1"/>
  </bookViews>
  <sheets>
    <sheet xmlns:r="http://schemas.openxmlformats.org/officeDocument/2006/relationships" name="TDSheet" sheetId="1" state="visible" r:id="rId1"/>
  </sheets>
  <definedNames>
    <definedName name="_xlnm._FilterDatabase" localSheetId="0" hidden="1">'TDSheet'!$A$3:$BS$41</definedName>
    <definedName name="_xlnm.Print_Area" localSheetId="0">'TDSheet'!$A$1:$BS$42</definedName>
  </definedNames>
  <calcPr calcId="162913" calcMode="auto" fullCalcOnLoad="1" refMode="R1C1" forceFullCalc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#,##0.000"/>
  </numFmts>
  <fonts count="2">
    <font>
      <name val="Arial"/>
      <sz val="8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4574A0"/>
      </patternFill>
    </fill>
    <fill>
      <patternFill patternType="solid">
        <fgColor rgb="FFCCFFCC"/>
      </patternFill>
    </fill>
    <fill>
      <patternFill patternType="solid">
        <fgColor rgb="FF4A62B9"/>
      </patternFill>
    </fill>
  </fills>
  <borders count="15">
    <border>
      <left/>
      <right/>
      <top/>
      <bottom/>
      <diagonal/>
    </border>
    <border>
      <left style="thin">
        <color rgb="FFBDC7EB"/>
      </left>
      <right style="thin">
        <color rgb="FFBDC7EB"/>
      </right>
      <top/>
      <bottom/>
      <diagonal/>
    </border>
    <border>
      <left style="thin">
        <color rgb="FFBDC7EB"/>
      </left>
      <right style="thin">
        <color rgb="FFBDC7EB"/>
      </right>
      <top/>
      <bottom style="thin">
        <color rgb="FFBDC7EB"/>
      </bottom>
      <diagonal/>
    </border>
    <border>
      <left style="thin">
        <color rgb="FFBDC7EB"/>
      </left>
      <right style="thin">
        <color rgb="FFBDC7EB"/>
      </right>
      <top style="thin">
        <color rgb="FFBDC7EB"/>
      </top>
      <bottom/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BDC7EB"/>
      </left>
      <right/>
      <top/>
      <bottom style="thin">
        <color rgb="FFBDC7EB"/>
      </bottom>
      <diagonal/>
    </border>
    <border>
      <left/>
      <right/>
      <top/>
      <bottom style="thin">
        <color rgb="FFBDC7EB"/>
      </bottom>
      <diagonal/>
    </border>
    <border>
      <left/>
      <right style="thin">
        <color rgb="FFBDC7EB"/>
      </right>
      <top/>
      <bottom style="thin">
        <color rgb="FFBDC7EB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  <border>
      <left/>
      <right/>
      <top style="thin">
        <color rgb="FFBDC7EB"/>
      </top>
      <bottom/>
      <diagonal/>
    </border>
    <border>
      <left/>
      <right style="thin">
        <color rgb="FFBDC7EB"/>
      </right>
      <top style="thin">
        <color rgb="FFBDC7EB"/>
      </top>
      <bottom/>
      <diagonal/>
    </border>
    <border>
      <left/>
      <right/>
      <top style="thin">
        <color rgb="FFBDC7EB"/>
      </top>
      <bottom style="thin">
        <color rgb="FFBDC7EB"/>
      </bottom>
      <diagonal/>
    </border>
    <border>
      <left/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BDC7EB"/>
      </left>
      <right/>
      <top/>
      <bottom/>
      <diagonal/>
    </border>
    <border>
      <left/>
      <right style="thin">
        <color rgb="FFBDC7EB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164" fontId="0" fillId="0" borderId="8" applyAlignment="1" pivotButton="0" quotePrefix="0" xfId="0">
      <alignment horizontal="right" vertical="top"/>
    </xf>
    <xf numFmtId="2" fontId="0" fillId="0" borderId="8" applyAlignment="1" pivotButton="0" quotePrefix="0" xfId="0">
      <alignment horizontal="right" vertical="top"/>
    </xf>
    <xf numFmtId="0" fontId="0" fillId="0" borderId="8" applyAlignment="1" pivotButton="0" quotePrefix="0" xfId="0">
      <alignment horizontal="left" vertical="top"/>
    </xf>
    <xf numFmtId="1" fontId="0" fillId="0" borderId="8" applyAlignment="1" pivotButton="0" quotePrefix="0" xfId="0">
      <alignment horizontal="right" vertical="top"/>
    </xf>
    <xf numFmtId="0" fontId="0" fillId="0" borderId="8" applyAlignment="1" pivotButton="0" quotePrefix="0" xfId="0">
      <alignment horizontal="right" vertical="top"/>
    </xf>
    <xf numFmtId="4" fontId="0" fillId="0" borderId="8" applyAlignment="1" pivotButton="0" quotePrefix="0" xfId="0">
      <alignment horizontal="right" vertical="top"/>
    </xf>
    <xf numFmtId="165" fontId="0" fillId="0" borderId="8" applyAlignment="1" pivotButton="0" quotePrefix="0" xfId="0">
      <alignment horizontal="right" vertical="top"/>
    </xf>
    <xf numFmtId="3" fontId="0" fillId="0" borderId="8" applyAlignment="1" pivotButton="0" quotePrefix="0" xfId="0">
      <alignment horizontal="right" vertical="top"/>
    </xf>
    <xf numFmtId="0" fontId="1" fillId="4" borderId="4" applyAlignment="1" pivotButton="0" quotePrefix="0" xfId="0">
      <alignment horizontal="left" vertical="top"/>
    </xf>
    <xf numFmtId="164" fontId="1" fillId="4" borderId="4" applyAlignment="1" pivotButton="0" quotePrefix="0" xfId="0">
      <alignment horizontal="right" vertical="top"/>
    </xf>
    <xf numFmtId="4" fontId="1" fillId="4" borderId="4" applyAlignment="1" pivotButton="0" quotePrefix="0" xfId="0">
      <alignment horizontal="right" vertical="top"/>
    </xf>
    <xf numFmtId="2" fontId="1" fillId="4" borderId="4" applyAlignment="1" pivotButton="0" quotePrefix="0" xfId="0">
      <alignment horizontal="right" vertical="top"/>
    </xf>
    <xf numFmtId="1" fontId="1" fillId="4" borderId="4" applyAlignment="1" pivotButton="0" quotePrefix="0" xfId="0">
      <alignment horizontal="right" vertical="top"/>
    </xf>
    <xf numFmtId="3" fontId="1" fillId="4" borderId="4" applyAlignment="1" pivotButton="0" quotePrefix="0" xfId="0">
      <alignment horizontal="right" vertical="top"/>
    </xf>
    <xf numFmtId="166" fontId="1" fillId="4" borderId="4" applyAlignment="1" pivotButton="0" quotePrefix="0" xfId="0">
      <alignment horizontal="right" vertical="top"/>
    </xf>
    <xf numFmtId="0" fontId="1" fillId="2" borderId="3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1" fontId="1" fillId="2" borderId="4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 wrapText="1"/>
    </xf>
    <xf numFmtId="0" fontId="1" fillId="3" borderId="4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BS42"/>
  <sheetViews>
    <sheetView tabSelected="1" zoomScale="40" zoomScaleNormal="100" workbookViewId="0">
      <pane xSplit="1" ySplit="3" topLeftCell="B4" activePane="bottomRight" state="frozen"/>
      <selection pane="topRight"/>
      <selection pane="bottomLeft"/>
      <selection pane="bottomRight" activeCell="E7" sqref="E7"/>
    </sheetView>
  </sheetViews>
  <sheetFormatPr baseColWidth="8" defaultColWidth="10.5" defaultRowHeight="11.45" customHeight="1"/>
  <cols>
    <col width="47" customWidth="1" style="1" min="1" max="1"/>
    <col width="22.33203125" customWidth="1" style="1" min="2" max="2"/>
    <col width="15.6640625" customWidth="1" style="1" min="3" max="5"/>
    <col width="13" customWidth="1" min="4" max="4"/>
    <col width="13" customWidth="1" min="5" max="5"/>
    <col width="12.33203125" customWidth="1" style="1" min="6" max="6"/>
    <col width="22.33203125" customWidth="1" style="1" min="7" max="7"/>
    <col width="15.6640625" customWidth="1" style="1" min="8" max="8"/>
    <col width="13" customWidth="1" style="1" min="9" max="9"/>
    <col width="13" customWidth="1" style="1" min="10" max="10"/>
    <col width="12.33203125" customWidth="1" style="1" min="11" max="11"/>
    <col width="22.33203125" customWidth="1" style="1" min="12" max="12"/>
    <col width="15.6640625" customWidth="1" style="1" min="13" max="13"/>
    <col width="13" customWidth="1" style="1" min="14" max="14"/>
    <col width="13" customWidth="1" style="1" min="15" max="15"/>
    <col width="12.33203125" customWidth="1" style="1" min="16" max="16"/>
    <col width="22.33203125" customWidth="1" style="1" min="17" max="17"/>
    <col width="15.6640625" customWidth="1" style="1" min="18" max="18"/>
    <col width="13" customWidth="1" style="1" min="19" max="19"/>
    <col width="13" customWidth="1" style="1" min="20" max="20"/>
    <col width="12.33203125" customWidth="1" style="1" min="21" max="21"/>
    <col width="22.33203125" customWidth="1" style="1" min="22" max="22"/>
    <col width="15.6640625" customWidth="1" style="1" min="23" max="23"/>
    <col width="13" customWidth="1" style="1" min="24" max="24"/>
    <col width="13" customWidth="1" style="1" min="25" max="25"/>
    <col width="12.33203125" customWidth="1" style="1" min="26" max="26"/>
    <col width="22.33203125" customWidth="1" style="1" min="27" max="27"/>
    <col width="15.6640625" customWidth="1" style="1" min="28" max="28"/>
    <col width="13" customWidth="1" style="1" min="29" max="29"/>
    <col width="13" customWidth="1" style="1" min="30" max="30"/>
    <col width="12.33203125" customWidth="1" style="1" min="31" max="31"/>
    <col width="22.33203125" customWidth="1" style="1" min="32" max="32"/>
    <col width="15.6640625" customWidth="1" style="1" min="33" max="33"/>
    <col width="13" customWidth="1" style="1" min="34" max="34"/>
    <col width="13" customWidth="1" style="1" min="35" max="35"/>
    <col width="12.33203125" customWidth="1" style="1" min="36" max="36"/>
    <col width="22.33203125" customWidth="1" style="1" min="37" max="37"/>
    <col width="15.6640625" customWidth="1" style="1" min="38" max="38"/>
    <col width="13" customWidth="1" style="1" min="39" max="39"/>
    <col width="13" customWidth="1" style="1" min="40" max="40"/>
    <col width="12.33203125" customWidth="1" style="1" min="41" max="41"/>
    <col width="22.33203125" customWidth="1" style="1" min="42" max="42"/>
    <col width="15.6640625" customWidth="1" style="1" min="43" max="43"/>
    <col width="13" customWidth="1" style="1" min="44" max="44"/>
    <col width="13" customWidth="1" style="1" min="45" max="45"/>
    <col width="12.33203125" customWidth="1" min="46" max="46"/>
    <col width="22.33203125" customWidth="1" min="47" max="47"/>
    <col width="15.6640625" customWidth="1" min="48" max="48"/>
    <col width="13" customWidth="1" min="49" max="49"/>
    <col width="13" customWidth="1" min="50" max="50"/>
    <col width="12.33203125" customWidth="1" min="51" max="51"/>
    <col width="22.33203125" customWidth="1" min="52" max="52"/>
    <col width="15.6640625" customWidth="1" min="53" max="53"/>
    <col width="13" customWidth="1" min="54" max="54"/>
    <col width="13" customWidth="1" min="55" max="55"/>
    <col width="12.33203125" customWidth="1" min="56" max="56"/>
    <col width="22.33203125" customWidth="1" min="57" max="57"/>
    <col width="15.6640625" customWidth="1" min="58" max="58"/>
    <col width="13" customWidth="1" min="59" max="59"/>
    <col width="13" customWidth="1" min="60" max="60"/>
    <col width="12.33203125" customWidth="1" min="61" max="61"/>
    <col width="22.33203125" customWidth="1" min="62" max="62"/>
    <col width="15.6640625" customWidth="1" min="63" max="63"/>
    <col width="13" customWidth="1" min="64" max="64"/>
    <col width="13" customWidth="1" min="65" max="65"/>
    <col width="12.33203125" customWidth="1" min="66" max="66"/>
    <col width="22.33203125" customWidth="1" min="67" max="67"/>
    <col width="15.6640625" customWidth="1" min="68" max="68"/>
    <col width="13" customWidth="1" min="69" max="69"/>
    <col width="13" customWidth="1" min="70" max="70"/>
    <col width="12.33203125" customWidth="1" min="71" max="71"/>
  </cols>
  <sheetData>
    <row r="1" ht="12.95" customHeight="1">
      <c r="A1" s="27" t="inlineStr">
        <is>
          <t>Торговый центр</t>
        </is>
      </c>
      <c r="B1" s="22" t="n">
        <v>45306</v>
      </c>
      <c r="C1" s="29" t="n"/>
      <c r="D1" s="29" t="n"/>
      <c r="E1" s="29" t="n"/>
      <c r="F1" s="30" t="n"/>
      <c r="G1" s="22" t="n">
        <v>56579</v>
      </c>
      <c r="H1" s="29" t="n"/>
      <c r="I1" s="29" t="n"/>
      <c r="J1" s="29" t="n"/>
      <c r="K1" s="30" t="n"/>
      <c r="L1" s="22" t="n">
        <v>64445</v>
      </c>
      <c r="M1" s="29" t="n"/>
      <c r="N1" s="29" t="n"/>
      <c r="O1" s="29" t="n"/>
      <c r="P1" s="30" t="n"/>
      <c r="Q1" s="22" t="n">
        <v>63274</v>
      </c>
      <c r="R1" s="29" t="n"/>
      <c r="S1" s="29" t="n"/>
      <c r="T1" s="29" t="n"/>
      <c r="U1" s="30" t="n"/>
      <c r="V1" s="22" t="n">
        <v>63093</v>
      </c>
      <c r="W1" s="29" t="n"/>
      <c r="X1" s="29" t="n"/>
      <c r="Y1" s="29" t="n"/>
      <c r="Z1" s="30" t="n"/>
      <c r="AA1" s="22" t="n">
        <v>61183</v>
      </c>
      <c r="AB1" s="29" t="n"/>
      <c r="AC1" s="29" t="n"/>
      <c r="AD1" s="29" t="n"/>
      <c r="AE1" s="30" t="n"/>
      <c r="AF1" s="22" t="n">
        <v>63630</v>
      </c>
      <c r="AG1" s="29" t="n"/>
      <c r="AH1" s="29" t="n"/>
      <c r="AI1" s="29" t="n"/>
      <c r="AJ1" s="30" t="n"/>
      <c r="AK1" s="22" t="n">
        <v>22769</v>
      </c>
      <c r="AL1" s="29" t="n"/>
      <c r="AM1" s="29" t="n"/>
      <c r="AN1" s="29" t="n"/>
      <c r="AO1" s="30" t="n"/>
      <c r="AP1" s="22" t="n">
        <v>64322</v>
      </c>
      <c r="AQ1" s="29" t="n"/>
      <c r="AR1" s="29" t="n"/>
      <c r="AS1" s="29" t="n"/>
      <c r="AT1" s="30" t="n"/>
      <c r="AU1" s="22" t="n">
        <v>50768</v>
      </c>
      <c r="AV1" s="29" t="n"/>
      <c r="AW1" s="29" t="n"/>
      <c r="AX1" s="29" t="n"/>
      <c r="AY1" s="30" t="n"/>
      <c r="AZ1" s="22" t="n">
        <v>19129</v>
      </c>
      <c r="BA1" s="29" t="n"/>
      <c r="BB1" s="29" t="n"/>
      <c r="BC1" s="29" t="n"/>
      <c r="BD1" s="30" t="n"/>
      <c r="BE1" s="22" t="n">
        <v>14286</v>
      </c>
      <c r="BF1" s="29" t="n"/>
      <c r="BG1" s="29" t="n"/>
      <c r="BH1" s="29" t="n"/>
      <c r="BI1" s="30" t="n"/>
      <c r="BJ1" s="22" t="n">
        <v>11042</v>
      </c>
      <c r="BK1" s="29" t="n"/>
      <c r="BL1" s="29" t="n"/>
      <c r="BM1" s="29" t="n"/>
      <c r="BN1" s="30" t="n"/>
      <c r="BO1" s="22" t="inlineStr">
        <is>
          <t>Итого</t>
        </is>
      </c>
      <c r="BP1" s="31" t="n"/>
      <c r="BQ1" s="31" t="n"/>
      <c r="BR1" s="31" t="n"/>
      <c r="BS1" s="32" t="n"/>
    </row>
    <row r="2" ht="26.1" customHeight="1">
      <c r="A2" s="33" t="n"/>
      <c r="B2" s="28" t="inlineStr">
        <is>
          <t>Ковбаса Баликова н/к 1г ваг (Власн.вироб)</t>
        </is>
      </c>
      <c r="C2" s="29" t="n"/>
      <c r="D2" s="29" t="n"/>
      <c r="E2" s="29" t="n"/>
      <c r="F2" s="30" t="n"/>
      <c r="G2" s="28" t="inlineStr">
        <is>
          <t>Котлета куряча смажена охол.ваг НЕ ПАРСЯ</t>
        </is>
      </c>
      <c r="H2" s="29" t="n"/>
      <c r="I2" s="29" t="n"/>
      <c r="J2" s="29" t="n"/>
      <c r="K2" s="30" t="n"/>
      <c r="L2" s="28" t="inlineStr">
        <is>
          <t>Масло L`extra солодковершкове  Екстра 82% 180г</t>
        </is>
      </c>
      <c r="M2" s="29" t="n"/>
      <c r="N2" s="29" t="n"/>
      <c r="O2" s="29" t="n"/>
      <c r="P2" s="30" t="n"/>
      <c r="Q2" s="28" t="inlineStr">
        <is>
          <t>Молоко Ферма ультрапастеризоване 2,5% TF 900г</t>
        </is>
      </c>
      <c r="R2" s="29" t="n"/>
      <c r="S2" s="29" t="n"/>
      <c r="T2" s="29" t="n"/>
      <c r="U2" s="30" t="n"/>
      <c r="V2" s="28" t="inlineStr">
        <is>
          <t>Напій Pulse Mango енерг.б/а 250мл</t>
        </is>
      </c>
      <c r="W2" s="29" t="n"/>
      <c r="X2" s="29" t="n"/>
      <c r="Y2" s="29" t="n"/>
      <c r="Z2" s="30" t="n"/>
      <c r="AA2" s="28" t="inlineStr">
        <is>
          <t>Нектар Jaffa Мультифруктовий Тропічні фрукти т/п 0,95л</t>
        </is>
      </c>
      <c r="AB2" s="29" t="n"/>
      <c r="AC2" s="29" t="n"/>
      <c r="AD2" s="29" t="n"/>
      <c r="AE2" s="30" t="n"/>
      <c r="AF2" s="28" t="inlineStr">
        <is>
          <t>Пиво Grimbergen Бланш 6% з/б 0,5л</t>
        </is>
      </c>
      <c r="AG2" s="29" t="n"/>
      <c r="AH2" s="29" t="n"/>
      <c r="AI2" s="29" t="n"/>
      <c r="AJ2" s="30" t="n"/>
      <c r="AK2" s="28" t="inlineStr">
        <is>
          <t>Плюшка маленька з цукром 120г (Власн.вироб)</t>
        </is>
      </c>
      <c r="AL2" s="29" t="n"/>
      <c r="AM2" s="29" t="n"/>
      <c r="AN2" s="29" t="n"/>
      <c r="AO2" s="30" t="n"/>
      <c r="AP2" s="28" t="inlineStr">
        <is>
          <t>Сардельки Фірмові з сиром в/к 1г ваг(Власн.вироб)</t>
        </is>
      </c>
      <c r="AQ2" s="29" t="n"/>
      <c r="AR2" s="29" t="n"/>
      <c r="AS2" s="29" t="n"/>
      <c r="AT2" s="30" t="n"/>
      <c r="AU2" s="28" t="inlineStr">
        <is>
          <t>Сік Jaffa Томат з морською сіллю т/п 1л</t>
        </is>
      </c>
      <c r="AV2" s="29" t="n"/>
      <c r="AW2" s="29" t="n"/>
      <c r="AX2" s="29" t="n"/>
      <c r="AY2" s="30" t="n"/>
      <c r="AZ2" s="28" t="inlineStr">
        <is>
          <t>Сосиски Ранчо з яловичиною в/г п/а 275г</t>
        </is>
      </c>
      <c r="BA2" s="29" t="n"/>
      <c r="BB2" s="29" t="n"/>
      <c r="BC2" s="29" t="n"/>
      <c r="BD2" s="30" t="n"/>
      <c r="BE2" s="28" t="inlineStr">
        <is>
          <t>Торт Наполеон ваг (Власн.вироб)</t>
        </is>
      </c>
      <c r="BF2" s="29" t="n"/>
      <c r="BG2" s="29" t="n"/>
      <c r="BH2" s="29" t="n"/>
      <c r="BI2" s="30" t="n"/>
      <c r="BJ2" s="28" t="inlineStr">
        <is>
          <t>Цукерки Конті Шоколадні історії Джек ваг</t>
        </is>
      </c>
      <c r="BK2" s="29" t="n"/>
      <c r="BL2" s="29" t="n"/>
      <c r="BM2" s="29" t="n"/>
      <c r="BN2" s="30" t="n"/>
      <c r="BO2" s="34" t="n"/>
      <c r="BP2" s="35" t="n"/>
      <c r="BQ2" s="35" t="n"/>
      <c r="BR2" s="35" t="n"/>
      <c r="BS2" s="36" t="n"/>
    </row>
    <row r="3" ht="38.1" customHeight="1">
      <c r="A3" s="37" t="n"/>
      <c r="B3" s="27" t="inlineStr">
        <is>
          <t>Остаток за вычетом текущих продаж</t>
        </is>
      </c>
      <c r="C3" s="27" t="inlineStr">
        <is>
          <t>К-ть продаж 25.08-31.08</t>
        </is>
      </c>
      <c r="D3" s="27" t="inlineStr">
        <is>
          <t>К-ть продаж 01.09-07.09</t>
        </is>
      </c>
      <c r="E3" s="27" t="inlineStr">
        <is>
          <t>Коєф.приросту</t>
        </is>
      </c>
      <c r="F3" s="27" t="inlineStr">
        <is>
          <t>Сумма продажи</t>
        </is>
      </c>
      <c r="G3" s="27" t="inlineStr">
        <is>
          <t>Остаток за вычетом текущих продаж</t>
        </is>
      </c>
      <c r="H3" s="27" t="inlineStr">
        <is>
          <t>К-ть продаж 25.08-31.08</t>
        </is>
      </c>
      <c r="I3" s="27" t="inlineStr">
        <is>
          <t>К-ть продаж 01.09-07.09</t>
        </is>
      </c>
      <c r="J3" s="27" t="inlineStr">
        <is>
          <t>Коєф.приросту</t>
        </is>
      </c>
      <c r="K3" s="27" t="inlineStr">
        <is>
          <t>Сумма продажи</t>
        </is>
      </c>
      <c r="L3" s="27" t="inlineStr">
        <is>
          <t>Остаток за вычетом текущих продаж</t>
        </is>
      </c>
      <c r="M3" s="27" t="inlineStr">
        <is>
          <t>К-ть продаж 25.08-31.08</t>
        </is>
      </c>
      <c r="N3" s="27" t="inlineStr">
        <is>
          <t>К-ть продаж 01.09-07.09</t>
        </is>
      </c>
      <c r="O3" s="27" t="inlineStr">
        <is>
          <t>Коєф.приросту</t>
        </is>
      </c>
      <c r="P3" s="27" t="inlineStr">
        <is>
          <t>Сумма продажи</t>
        </is>
      </c>
      <c r="Q3" s="27" t="inlineStr">
        <is>
          <t>Остаток за вычетом текущих продаж</t>
        </is>
      </c>
      <c r="R3" s="27" t="inlineStr">
        <is>
          <t>К-ть продаж 25.08-31.08</t>
        </is>
      </c>
      <c r="S3" s="27" t="inlineStr">
        <is>
          <t>К-ть продаж 01.09-07.09</t>
        </is>
      </c>
      <c r="T3" s="27" t="inlineStr">
        <is>
          <t>Коєф.приросту</t>
        </is>
      </c>
      <c r="U3" s="27" t="inlineStr">
        <is>
          <t>Сумма продажи</t>
        </is>
      </c>
      <c r="V3" s="27" t="inlineStr">
        <is>
          <t>Остаток за вычетом текущих продаж</t>
        </is>
      </c>
      <c r="W3" s="27" t="inlineStr">
        <is>
          <t>К-ть продаж 25.08-31.08</t>
        </is>
      </c>
      <c r="X3" s="27" t="inlineStr">
        <is>
          <t>К-ть продаж 01.09-07.09</t>
        </is>
      </c>
      <c r="Y3" s="27" t="inlineStr">
        <is>
          <t>Коєф.приросту</t>
        </is>
      </c>
      <c r="Z3" s="27" t="inlineStr">
        <is>
          <t>Сумма продажи</t>
        </is>
      </c>
      <c r="AA3" s="27" t="inlineStr">
        <is>
          <t>Остаток за вычетом текущих продаж</t>
        </is>
      </c>
      <c r="AB3" s="27" t="inlineStr">
        <is>
          <t>К-ть продаж 25.08-31.08</t>
        </is>
      </c>
      <c r="AC3" s="27" t="inlineStr">
        <is>
          <t>К-ть продаж 01.09-07.09</t>
        </is>
      </c>
      <c r="AD3" s="27" t="inlineStr">
        <is>
          <t>Коєф.приросту</t>
        </is>
      </c>
      <c r="AE3" s="27" t="inlineStr">
        <is>
          <t>Сумма продажи</t>
        </is>
      </c>
      <c r="AF3" s="27" t="inlineStr">
        <is>
          <t>Остаток за вычетом текущих продаж</t>
        </is>
      </c>
      <c r="AG3" s="27" t="inlineStr">
        <is>
          <t>К-ть продаж 25.08-31.08</t>
        </is>
      </c>
      <c r="AH3" s="27" t="inlineStr">
        <is>
          <t>К-ть продаж 01.09-07.09</t>
        </is>
      </c>
      <c r="AI3" s="27" t="inlineStr">
        <is>
          <t>Коєф.приросту</t>
        </is>
      </c>
      <c r="AJ3" s="27" t="inlineStr">
        <is>
          <t>Сумма продажи</t>
        </is>
      </c>
      <c r="AK3" s="27" t="inlineStr">
        <is>
          <t>Остаток за вычетом текущих продаж</t>
        </is>
      </c>
      <c r="AL3" s="27" t="inlineStr">
        <is>
          <t>К-ть продаж 25.08-31.08</t>
        </is>
      </c>
      <c r="AM3" s="27" t="inlineStr">
        <is>
          <t>К-ть продаж 01.09-07.09</t>
        </is>
      </c>
      <c r="AN3" s="27" t="inlineStr">
        <is>
          <t>Коєф.приросту</t>
        </is>
      </c>
      <c r="AO3" s="27" t="inlineStr">
        <is>
          <t>Сумма продажи</t>
        </is>
      </c>
      <c r="AP3" s="27" t="inlineStr">
        <is>
          <t>Остаток за вычетом текущих продаж</t>
        </is>
      </c>
      <c r="AQ3" s="27" t="inlineStr">
        <is>
          <t>К-ть продаж 25.08-31.08</t>
        </is>
      </c>
      <c r="AR3" s="27" t="inlineStr">
        <is>
          <t>К-ть продаж 01.09-07.09</t>
        </is>
      </c>
      <c r="AS3" s="27" t="inlineStr">
        <is>
          <t>Коєф.приросту</t>
        </is>
      </c>
      <c r="AT3" s="27" t="inlineStr">
        <is>
          <t>Сумма продажи</t>
        </is>
      </c>
      <c r="AU3" s="27" t="inlineStr">
        <is>
          <t>Остаток за вычетом текущих продаж</t>
        </is>
      </c>
      <c r="AV3" s="27" t="inlineStr">
        <is>
          <t>К-ть продаж 25.08-31.08</t>
        </is>
      </c>
      <c r="AW3" s="27" t="inlineStr">
        <is>
          <t>К-ть продаж 01.09-07.09</t>
        </is>
      </c>
      <c r="AX3" s="27" t="inlineStr">
        <is>
          <t>Коєф.приросту</t>
        </is>
      </c>
      <c r="AY3" s="27" t="inlineStr">
        <is>
          <t>Сумма продажи</t>
        </is>
      </c>
      <c r="AZ3" s="27" t="inlineStr">
        <is>
          <t>Остаток за вычетом текущих продаж</t>
        </is>
      </c>
      <c r="BA3" s="27" t="inlineStr">
        <is>
          <t>К-ть продаж 25.08-31.08</t>
        </is>
      </c>
      <c r="BB3" s="27" t="inlineStr">
        <is>
          <t>К-ть продаж 01.09-07.09</t>
        </is>
      </c>
      <c r="BC3" s="27" t="inlineStr">
        <is>
          <t>Коєф.приросту</t>
        </is>
      </c>
      <c r="BD3" s="27" t="inlineStr">
        <is>
          <t>Сумма продажи</t>
        </is>
      </c>
      <c r="BE3" s="27" t="inlineStr">
        <is>
          <t>Остаток за вычетом текущих продаж</t>
        </is>
      </c>
      <c r="BF3" s="27" t="inlineStr">
        <is>
          <t>К-ть продаж 25.08-31.08</t>
        </is>
      </c>
      <c r="BG3" s="27" t="inlineStr">
        <is>
          <t>К-ть продаж 01.09-07.09</t>
        </is>
      </c>
      <c r="BH3" s="27" t="inlineStr">
        <is>
          <t>Коєф.приросту</t>
        </is>
      </c>
      <c r="BI3" s="27" t="inlineStr">
        <is>
          <t>Сумма продажи</t>
        </is>
      </c>
      <c r="BJ3" s="27" t="inlineStr">
        <is>
          <t>Остаток за вычетом текущих продаж</t>
        </is>
      </c>
      <c r="BK3" s="27" t="inlineStr">
        <is>
          <t>К-ть продаж 25.08-31.08</t>
        </is>
      </c>
      <c r="BL3" s="27" t="inlineStr">
        <is>
          <t>К-ть продаж 01.09-07.09</t>
        </is>
      </c>
      <c r="BM3" s="27" t="inlineStr">
        <is>
          <t>Коєф.приросту</t>
        </is>
      </c>
      <c r="BN3" s="27" t="inlineStr">
        <is>
          <t>Сумма продажи</t>
        </is>
      </c>
      <c r="BO3" s="27" t="inlineStr">
        <is>
          <t>Остаток за вычетом текущих продаж</t>
        </is>
      </c>
      <c r="BP3" s="27" t="inlineStr">
        <is>
          <t>К-ть продаж 25.08-31.08</t>
        </is>
      </c>
      <c r="BQ3" s="27" t="inlineStr">
        <is>
          <t>К-ть продаж 01.09-07.09</t>
        </is>
      </c>
      <c r="BR3" s="27" t="inlineStr">
        <is>
          <t>Коєф.приросту</t>
        </is>
      </c>
      <c r="BS3" s="27" t="inlineStr">
        <is>
          <t>Сумма продажи</t>
        </is>
      </c>
    </row>
    <row r="4" ht="11.1" customHeight="1">
      <c r="A4" s="3" t="inlineStr">
        <is>
          <t>Магазин 1/1 (м.Житомир, пр-т Миру, буд.15 )</t>
        </is>
      </c>
      <c r="B4" s="4" t="n">
        <v>4.023</v>
      </c>
      <c r="C4" s="4" t="n">
        <v>1.968</v>
      </c>
      <c r="D4" s="4" t="n">
        <v>4.836</v>
      </c>
      <c r="E4" s="5">
        <f>IF(OR(C4=0,D4=""),"",D4/C4)</f>
        <v/>
      </c>
      <c r="F4" s="5" t="n">
        <v>490.02</v>
      </c>
      <c r="G4" s="4" t="n"/>
      <c r="H4" s="4" t="n"/>
      <c r="I4" s="4" t="n">
        <v>1.786</v>
      </c>
      <c r="J4" s="5">
        <f>IF(OR(H4=0,I4=""),"",I4/H4)</f>
        <v/>
      </c>
      <c r="K4" s="5" t="n"/>
      <c r="L4" s="4" t="n">
        <v>8</v>
      </c>
      <c r="M4" s="4" t="n">
        <v>2</v>
      </c>
      <c r="N4" s="4" t="n">
        <v>8</v>
      </c>
      <c r="O4" s="5">
        <f>IF(OR(M4=0,N4=""),"",N4/M4)</f>
        <v/>
      </c>
      <c r="P4" s="5" t="n">
        <v>198.6</v>
      </c>
      <c r="Q4" s="4" t="n"/>
      <c r="R4" s="4" t="n"/>
      <c r="S4" s="4" t="n">
        <v>120</v>
      </c>
      <c r="T4" s="5">
        <f>IF(OR(R4=0,S4=""),"",S4/R4)</f>
        <v/>
      </c>
      <c r="U4" s="5" t="n"/>
      <c r="V4" s="4" t="n">
        <v>91</v>
      </c>
      <c r="W4" s="4" t="n">
        <v>12</v>
      </c>
      <c r="X4" s="4" t="n">
        <v>44</v>
      </c>
      <c r="Y4" s="5">
        <f>IF(OR(W4=0,X4=""),"",X4/W4)</f>
        <v/>
      </c>
      <c r="Z4" s="5" t="n">
        <v>394.8</v>
      </c>
      <c r="AA4" s="4" t="n">
        <v>14</v>
      </c>
      <c r="AB4" s="4" t="n">
        <v>2</v>
      </c>
      <c r="AC4" s="4" t="n">
        <v>14</v>
      </c>
      <c r="AD4" s="5">
        <f>IF(OR(AB4=0,AC4=""),"",AC4/AB4)</f>
        <v/>
      </c>
      <c r="AE4" s="5" t="n">
        <v>183.4</v>
      </c>
      <c r="AF4" s="4" t="n">
        <v>30</v>
      </c>
      <c r="AG4" s="4" t="n">
        <v>2</v>
      </c>
      <c r="AH4" s="4" t="n">
        <v>18</v>
      </c>
      <c r="AI4" s="5">
        <f>IF(OR(AG4=0,AH4=""),"",AH4/AG4)</f>
        <v/>
      </c>
      <c r="AJ4" s="5" t="n">
        <v>153.2</v>
      </c>
      <c r="AK4" s="4" t="n"/>
      <c r="AL4" s="4" t="n"/>
      <c r="AM4" s="4" t="n">
        <v>217</v>
      </c>
      <c r="AN4" s="5">
        <f>IF(OR(AL4=0,AM4=""),"",AM4/AL4)</f>
        <v/>
      </c>
      <c r="AO4" s="5" t="n"/>
      <c r="AP4" s="4" t="n"/>
      <c r="AQ4" s="4" t="n"/>
      <c r="AR4" s="4" t="n">
        <v>2.388</v>
      </c>
      <c r="AS4" s="5">
        <f>IF(OR(AQ4=0,AR4=""),"",AR4/AQ4)</f>
        <v/>
      </c>
      <c r="AT4" s="5" t="n"/>
      <c r="AU4" s="4" t="n">
        <v>14</v>
      </c>
      <c r="AV4" s="4" t="n"/>
      <c r="AW4" s="4" t="n">
        <v>14</v>
      </c>
      <c r="AX4" s="5">
        <f>IF(OR(AV4=0,AW4=""),"",AW4/AV4)</f>
        <v/>
      </c>
      <c r="AY4" s="5" t="n"/>
      <c r="AZ4" s="4" t="n">
        <v>57</v>
      </c>
      <c r="BA4" s="4" t="n"/>
      <c r="BB4" s="4" t="n">
        <v>32</v>
      </c>
      <c r="BC4" s="5">
        <f>IF(OR(BA4=0,BB4=""),"",BB4/BA4)</f>
        <v/>
      </c>
      <c r="BD4" s="5" t="n"/>
      <c r="BE4" s="4" t="n">
        <v>0.906</v>
      </c>
      <c r="BF4" s="4" t="n">
        <v>1.782</v>
      </c>
      <c r="BG4" s="4" t="n">
        <v>13.684</v>
      </c>
      <c r="BH4" s="5">
        <f>IF(OR(BF4=0,BG4=""),"",BG4/BF4)</f>
        <v/>
      </c>
      <c r="BI4" s="5" t="n">
        <v>674.49</v>
      </c>
      <c r="BJ4" s="4" t="n">
        <v>6.402</v>
      </c>
      <c r="BK4" s="4" t="n">
        <v>0.07199999999999999</v>
      </c>
      <c r="BL4" s="4" t="n">
        <v>25.776</v>
      </c>
      <c r="BM4" s="5">
        <f>IF(OR(BK4=0,BL4=""),"",BL4/BK4)</f>
        <v/>
      </c>
      <c r="BN4" s="5" t="n">
        <v>27.19</v>
      </c>
      <c r="BO4" s="4" t="n">
        <v>225.331</v>
      </c>
      <c r="BP4" s="4" t="n">
        <v>21.82</v>
      </c>
      <c r="BQ4" s="4" t="n">
        <v>515.47</v>
      </c>
      <c r="BR4" s="5">
        <f>IF(OR(BP4=0,BQ4=""),"",BQ4/BP4)</f>
        <v/>
      </c>
      <c r="BS4" s="5" t="n">
        <v>2121.7</v>
      </c>
    </row>
    <row r="5" ht="11.1" customHeight="1">
      <c r="A5" s="3" t="inlineStr">
        <is>
          <t>Магазин 2 (вул.Володимирська 73/77)</t>
        </is>
      </c>
      <c r="B5" s="4" t="n">
        <v>3.056</v>
      </c>
      <c r="C5" s="4" t="n">
        <v>1.924</v>
      </c>
      <c r="D5" s="4" t="n">
        <v>2.508</v>
      </c>
      <c r="E5" s="5">
        <f>IF(OR(C5=0,D5=""),"",D5/C5)</f>
        <v/>
      </c>
      <c r="F5" s="5" t="n">
        <v>479.08</v>
      </c>
      <c r="G5" s="4" t="n"/>
      <c r="H5" s="4" t="n">
        <v>2.132</v>
      </c>
      <c r="I5" s="4" t="n">
        <v>6.578</v>
      </c>
      <c r="J5" s="5">
        <f>IF(OR(H5=0,I5=""),"",I5/H5)</f>
        <v/>
      </c>
      <c r="K5" s="5" t="n">
        <v>829.36</v>
      </c>
      <c r="L5" s="4" t="n">
        <v>8</v>
      </c>
      <c r="M5" s="4" t="n">
        <v>1</v>
      </c>
      <c r="N5" s="4" t="n">
        <v>8</v>
      </c>
      <c r="O5" s="5">
        <f>IF(OR(M5=0,N5=""),"",N5/M5)</f>
        <v/>
      </c>
      <c r="P5" s="5" t="n">
        <v>105.7</v>
      </c>
      <c r="Q5" s="4" t="n">
        <v>44</v>
      </c>
      <c r="R5" s="4" t="n">
        <v>2</v>
      </c>
      <c r="S5" s="4" t="n">
        <v>44</v>
      </c>
      <c r="T5" s="5">
        <f>IF(OR(R5=0,S5=""),"",S5/R5)</f>
        <v/>
      </c>
      <c r="U5" s="5" t="n">
        <v>132.6</v>
      </c>
      <c r="V5" s="4" t="n">
        <v>47</v>
      </c>
      <c r="W5" s="4" t="n"/>
      <c r="X5" s="4" t="n">
        <v>5</v>
      </c>
      <c r="Y5" s="5">
        <f>IF(OR(W5=0,X5=""),"",X5/W5)</f>
        <v/>
      </c>
      <c r="Z5" s="5" t="n"/>
      <c r="AA5" s="4" t="n">
        <v>19</v>
      </c>
      <c r="AB5" s="4" t="n">
        <v>2</v>
      </c>
      <c r="AC5" s="4" t="n">
        <v>16</v>
      </c>
      <c r="AD5" s="5">
        <f>IF(OR(AB5=0,AC5=""),"",AC5/AB5)</f>
        <v/>
      </c>
      <c r="AE5" s="5" t="n">
        <v>189.4</v>
      </c>
      <c r="AF5" s="4" t="n">
        <v>15</v>
      </c>
      <c r="AG5" s="4" t="n">
        <v>6</v>
      </c>
      <c r="AH5" s="4" t="n">
        <v>9</v>
      </c>
      <c r="AI5" s="5">
        <f>IF(OR(AG5=0,AH5=""),"",AH5/AG5)</f>
        <v/>
      </c>
      <c r="AJ5" s="5" t="n">
        <v>459.6</v>
      </c>
      <c r="AK5" s="4" t="n">
        <v>4</v>
      </c>
      <c r="AL5" s="4" t="n">
        <v>1</v>
      </c>
      <c r="AM5" s="4" t="n">
        <v>34</v>
      </c>
      <c r="AN5" s="5">
        <f>IF(OR(AL5=0,AM5=""),"",AM5/AL5)</f>
        <v/>
      </c>
      <c r="AO5" s="5" t="n">
        <v>25</v>
      </c>
      <c r="AP5" s="4" t="n">
        <v>0.364</v>
      </c>
      <c r="AQ5" s="4" t="n">
        <v>0.398</v>
      </c>
      <c r="AR5" s="4" t="n">
        <v>2.842</v>
      </c>
      <c r="AS5" s="5">
        <f>IF(OR(AQ5=0,AR5=""),"",AR5/AQ5)</f>
        <v/>
      </c>
      <c r="AT5" s="5" t="n">
        <v>119</v>
      </c>
      <c r="AU5" s="4" t="n">
        <v>13</v>
      </c>
      <c r="AV5" s="4" t="n">
        <v>5</v>
      </c>
      <c r="AW5" s="4" t="n">
        <v>8</v>
      </c>
      <c r="AX5" s="5">
        <f>IF(OR(AV5=0,AW5=""),"",AW5/AV5)</f>
        <v/>
      </c>
      <c r="AY5" s="5" t="n">
        <v>473.5</v>
      </c>
      <c r="AZ5" s="4" t="n">
        <v>25</v>
      </c>
      <c r="BA5" s="4" t="n">
        <v>4</v>
      </c>
      <c r="BB5" s="4" t="n">
        <v>22</v>
      </c>
      <c r="BC5" s="5">
        <f>IF(OR(BA5=0,BB5=""),"",BB5/BA5)</f>
        <v/>
      </c>
      <c r="BD5" s="5" t="n">
        <v>378.8</v>
      </c>
      <c r="BE5" s="4" t="n">
        <v>0.368</v>
      </c>
      <c r="BF5" s="4" t="n">
        <v>0.83</v>
      </c>
      <c r="BG5" s="4" t="n">
        <v>5.47</v>
      </c>
      <c r="BH5" s="5">
        <f>IF(OR(BF5=0,BG5=""),"",BG5/BF5)</f>
        <v/>
      </c>
      <c r="BI5" s="5" t="n">
        <v>314.15</v>
      </c>
      <c r="BJ5" s="4" t="n">
        <v>6.646</v>
      </c>
      <c r="BK5" s="4" t="n">
        <v>0.5679999999999999</v>
      </c>
      <c r="BL5" s="4" t="n">
        <v>6.808</v>
      </c>
      <c r="BM5" s="5">
        <f>IF(OR(BK5=0,BL5=""),"",BL5/BK5)</f>
        <v/>
      </c>
      <c r="BN5" s="5" t="n">
        <v>223.11</v>
      </c>
      <c r="BO5" s="4" t="n">
        <v>185.434</v>
      </c>
      <c r="BP5" s="4" t="n">
        <v>26.85</v>
      </c>
      <c r="BQ5" s="4" t="n">
        <v>170.21</v>
      </c>
      <c r="BR5" s="5">
        <f>IF(OR(BP5=0,BQ5=""),"",BQ5/BP5)</f>
        <v/>
      </c>
      <c r="BS5" s="5" t="n">
        <v>3729.3</v>
      </c>
    </row>
    <row r="6" ht="11.1" customHeight="1">
      <c r="A6" s="3" t="inlineStr">
        <is>
          <t>Магазин 3 (вул.Раїси Окипної буд.3)</t>
        </is>
      </c>
      <c r="B6" s="4" t="n">
        <v>0.294</v>
      </c>
      <c r="C6" s="4" t="n">
        <v>3.606</v>
      </c>
      <c r="D6" s="4" t="n">
        <v>1.498</v>
      </c>
      <c r="E6" s="5">
        <f>IF(OR(C6=0,D6=""),"",D6/C6)</f>
        <v/>
      </c>
      <c r="F6" s="5" t="n">
        <v>897.9</v>
      </c>
      <c r="G6" s="4" t="n"/>
      <c r="H6" s="4" t="n">
        <v>2.146</v>
      </c>
      <c r="I6" s="4" t="n">
        <v>3.592</v>
      </c>
      <c r="J6" s="5">
        <f>IF(OR(H6=0,I6=""),"",I6/H6)</f>
        <v/>
      </c>
      <c r="K6" s="5" t="n">
        <v>834.8099999999999</v>
      </c>
      <c r="L6" s="4" t="n">
        <v>10</v>
      </c>
      <c r="M6" s="4" t="n"/>
      <c r="N6" s="4" t="n">
        <v>22</v>
      </c>
      <c r="O6" s="5">
        <f>IF(OR(M6=0,N6=""),"",N6/M6)</f>
        <v/>
      </c>
      <c r="P6" s="5" t="n"/>
      <c r="Q6" s="4" t="n">
        <v>44</v>
      </c>
      <c r="R6" s="4" t="n">
        <v>2</v>
      </c>
      <c r="S6" s="4" t="n">
        <v>32</v>
      </c>
      <c r="T6" s="5">
        <f>IF(OR(R6=0,S6=""),"",S6/R6)</f>
        <v/>
      </c>
      <c r="U6" s="5" t="n">
        <v>132.6</v>
      </c>
      <c r="V6" s="4" t="n">
        <v>82</v>
      </c>
      <c r="W6" s="4" t="n">
        <v>1</v>
      </c>
      <c r="X6" s="4" t="n">
        <v>6</v>
      </c>
      <c r="Y6" s="5">
        <f>IF(OR(W6=0,X6=""),"",X6/W6)</f>
        <v/>
      </c>
      <c r="Z6" s="5" t="n">
        <v>32.9</v>
      </c>
      <c r="AA6" s="4" t="n">
        <v>11</v>
      </c>
      <c r="AB6" s="4" t="n">
        <v>1</v>
      </c>
      <c r="AC6" s="4" t="n">
        <v>3</v>
      </c>
      <c r="AD6" s="5">
        <f>IF(OR(AB6=0,AC6=""),"",AC6/AB6)</f>
        <v/>
      </c>
      <c r="AE6" s="5" t="n">
        <v>94.7</v>
      </c>
      <c r="AF6" s="4" t="n">
        <v>3</v>
      </c>
      <c r="AG6" s="4" t="n">
        <v>7</v>
      </c>
      <c r="AH6" s="4" t="n">
        <v>3</v>
      </c>
      <c r="AI6" s="5">
        <f>IF(OR(AG6=0,AH6=""),"",AH6/AG6)</f>
        <v/>
      </c>
      <c r="AJ6" s="5" t="n">
        <v>536.2</v>
      </c>
      <c r="AK6" s="4" t="n">
        <v>1</v>
      </c>
      <c r="AL6" s="4" t="n">
        <v>9</v>
      </c>
      <c r="AM6" s="4" t="n">
        <v>57</v>
      </c>
      <c r="AN6" s="5">
        <f>IF(OR(AL6=0,AM6=""),"",AM6/AL6)</f>
        <v/>
      </c>
      <c r="AO6" s="5" t="n">
        <v>225</v>
      </c>
      <c r="AP6" s="4" t="n">
        <v>1.158</v>
      </c>
      <c r="AQ6" s="4" t="n"/>
      <c r="AR6" s="4" t="n">
        <v>1.966</v>
      </c>
      <c r="AS6" s="5">
        <f>IF(OR(AQ6=0,AR6=""),"",AR6/AQ6)</f>
        <v/>
      </c>
      <c r="AT6" s="5" t="n"/>
      <c r="AU6" s="4" t="n">
        <v>15</v>
      </c>
      <c r="AV6" s="4" t="n">
        <v>3</v>
      </c>
      <c r="AW6" s="4" t="n">
        <v>5</v>
      </c>
      <c r="AX6" s="5">
        <f>IF(OR(AV6=0,AW6=""),"",AW6/AV6)</f>
        <v/>
      </c>
      <c r="AY6" s="5" t="n">
        <v>284.1</v>
      </c>
      <c r="AZ6" s="4" t="n">
        <v>34</v>
      </c>
      <c r="BA6" s="4" t="n">
        <v>5</v>
      </c>
      <c r="BB6" s="4" t="n">
        <v>41</v>
      </c>
      <c r="BC6" s="5">
        <f>IF(OR(BA6=0,BB6=""),"",BB6/BA6)</f>
        <v/>
      </c>
      <c r="BD6" s="5" t="n">
        <v>473.5</v>
      </c>
      <c r="BE6" s="4" t="n"/>
      <c r="BF6" s="4" t="n">
        <v>1.452</v>
      </c>
      <c r="BG6" s="4" t="n">
        <v>8.106</v>
      </c>
      <c r="BH6" s="5">
        <f>IF(OR(BF6=0,BG6=""),"",BG6/BF6)</f>
        <v/>
      </c>
      <c r="BI6" s="5" t="n">
        <v>549.59</v>
      </c>
      <c r="BJ6" s="4" t="n">
        <v>7.822</v>
      </c>
      <c r="BK6" s="4" t="n">
        <v>0.07000000000000001</v>
      </c>
      <c r="BL6" s="4" t="n">
        <v>1.976</v>
      </c>
      <c r="BM6" s="5">
        <f>IF(OR(BK6=0,BL6=""),"",BL6/BK6)</f>
        <v/>
      </c>
      <c r="BN6" s="5" t="n">
        <v>27.5</v>
      </c>
      <c r="BO6" s="4" t="n">
        <v>209.274</v>
      </c>
      <c r="BP6" s="4" t="n">
        <v>35.27</v>
      </c>
      <c r="BQ6" s="4" t="n">
        <v>186.14</v>
      </c>
      <c r="BR6" s="5">
        <f>IF(OR(BP6=0,BQ6=""),"",BQ6/BP6)</f>
        <v/>
      </c>
      <c r="BS6" s="5" t="n">
        <v>4088.8</v>
      </c>
    </row>
    <row r="7" ht="11.1" customHeight="1">
      <c r="A7" s="3" t="inlineStr">
        <is>
          <t>Магазин 5 (вул.Якуба Коласа 2 (Літера А))</t>
        </is>
      </c>
      <c r="B7" s="8" t="n"/>
      <c r="C7" s="4" t="n">
        <v>0.608</v>
      </c>
      <c r="D7" s="4" t="n">
        <v>2.01</v>
      </c>
      <c r="E7" s="5">
        <f>IF(OR(C7=0,D7=""),"",D7/C7)</f>
        <v/>
      </c>
      <c r="F7" s="5" t="n">
        <v>151.4</v>
      </c>
      <c r="G7" s="8" t="n"/>
      <c r="H7" s="4" t="n">
        <v>0.36</v>
      </c>
      <c r="I7" s="4" t="n">
        <v>3.192</v>
      </c>
      <c r="J7" s="5">
        <f>IF(OR(H7=0,I7=""),"",I7/H7)</f>
        <v/>
      </c>
      <c r="K7" s="5" t="n">
        <v>140.04</v>
      </c>
      <c r="L7" s="8" t="n">
        <v>14</v>
      </c>
      <c r="M7" s="4" t="n"/>
      <c r="N7" s="4" t="n">
        <v>5</v>
      </c>
      <c r="O7" s="5">
        <f>IF(OR(M7=0,N7=""),"",N7/M7)</f>
        <v/>
      </c>
      <c r="P7" s="5" t="n"/>
      <c r="Q7" s="8" t="n">
        <v>29</v>
      </c>
      <c r="R7" s="4" t="n">
        <v>2</v>
      </c>
      <c r="S7" s="4" t="n">
        <v>27</v>
      </c>
      <c r="T7" s="5">
        <f>IF(OR(R7=0,S7=""),"",S7/R7)</f>
        <v/>
      </c>
      <c r="U7" s="5" t="n">
        <v>132.6</v>
      </c>
      <c r="V7" s="8" t="n">
        <v>27</v>
      </c>
      <c r="W7" s="4" t="n"/>
      <c r="X7" s="4" t="n">
        <v>6</v>
      </c>
      <c r="Y7" s="5">
        <f>IF(OR(W7=0,X7=""),"",X7/W7)</f>
        <v/>
      </c>
      <c r="Z7" s="5" t="n"/>
      <c r="AA7" s="8" t="n">
        <v>23</v>
      </c>
      <c r="AB7" s="4" t="n"/>
      <c r="AC7" s="4" t="n">
        <v>13</v>
      </c>
      <c r="AD7" s="5">
        <f>IF(OR(AB7=0,AC7=""),"",AC7/AB7)</f>
        <v/>
      </c>
      <c r="AE7" s="5" t="n"/>
      <c r="AF7" s="8" t="n">
        <v>3</v>
      </c>
      <c r="AG7" s="4" t="n">
        <v>1</v>
      </c>
      <c r="AH7" s="4" t="n">
        <v>8</v>
      </c>
      <c r="AI7" s="5">
        <f>IF(OR(AG7=0,AH7=""),"",AH7/AG7)</f>
        <v/>
      </c>
      <c r="AJ7" s="5" t="n">
        <v>76.59999999999999</v>
      </c>
      <c r="AK7" s="8" t="n">
        <v>2</v>
      </c>
      <c r="AL7" s="4" t="n">
        <v>6</v>
      </c>
      <c r="AM7" s="4" t="n">
        <v>15</v>
      </c>
      <c r="AN7" s="5">
        <f>IF(OR(AL7=0,AM7=""),"",AM7/AL7)</f>
        <v/>
      </c>
      <c r="AO7" s="5" t="n">
        <v>150</v>
      </c>
      <c r="AP7" s="8" t="n">
        <v>0.78</v>
      </c>
      <c r="AQ7" s="4" t="n"/>
      <c r="AR7" s="4" t="n">
        <v>2.768</v>
      </c>
      <c r="AS7" s="5">
        <f>IF(OR(AQ7=0,AR7=""),"",AR7/AQ7)</f>
        <v/>
      </c>
      <c r="AT7" s="5" t="n"/>
      <c r="AU7" s="8" t="n">
        <v>23</v>
      </c>
      <c r="AV7" s="4" t="n">
        <v>1</v>
      </c>
      <c r="AW7" s="4" t="n">
        <v>15</v>
      </c>
      <c r="AX7" s="5">
        <f>IF(OR(AV7=0,AW7=""),"",AW7/AV7)</f>
        <v/>
      </c>
      <c r="AY7" s="5" t="n">
        <v>94.7</v>
      </c>
      <c r="AZ7" s="8" t="n">
        <v>34</v>
      </c>
      <c r="BA7" s="4" t="n">
        <v>2</v>
      </c>
      <c r="BB7" s="4" t="n">
        <v>24</v>
      </c>
      <c r="BC7" s="5">
        <f>IF(OR(BA7=0,BB7=""),"",BB7/BA7)</f>
        <v/>
      </c>
      <c r="BD7" s="5" t="n">
        <v>189.4</v>
      </c>
      <c r="BE7" s="8" t="n">
        <v>0.002</v>
      </c>
      <c r="BF7" s="4" t="n">
        <v>2.196</v>
      </c>
      <c r="BG7" s="4" t="n">
        <v>10.15</v>
      </c>
      <c r="BH7" s="5">
        <f>IF(OR(BF7=0,BG7=""),"",BG7/BF7)</f>
        <v/>
      </c>
      <c r="BI7" s="5" t="n">
        <v>831.1900000000001</v>
      </c>
      <c r="BJ7" s="8" t="n">
        <v>16.666</v>
      </c>
      <c r="BK7" s="4" t="n"/>
      <c r="BL7" s="4" t="n">
        <v>7.824</v>
      </c>
      <c r="BM7" s="5">
        <f>IF(OR(BK7=0,BL7=""),"",BL7/BK7)</f>
        <v/>
      </c>
      <c r="BN7" s="5" t="n"/>
      <c r="BO7" s="8" t="n">
        <v>172.448</v>
      </c>
      <c r="BP7" s="4" t="n">
        <v>15.16</v>
      </c>
      <c r="BQ7" s="4" t="n">
        <v>138.94</v>
      </c>
      <c r="BR7" s="5">
        <f>IF(OR(BP7=0,BQ7=""),"",BQ7/BP7)</f>
        <v/>
      </c>
      <c r="BS7" s="5" t="n">
        <v>1765.93</v>
      </c>
    </row>
    <row r="8" ht="11.1" customHeight="1">
      <c r="A8" s="3" t="inlineStr">
        <is>
          <t>Магазин 6 (вул. Сікорского буд.1А)</t>
        </is>
      </c>
      <c r="B8" s="5" t="n">
        <v>0.54</v>
      </c>
      <c r="C8" s="5" t="n">
        <v>3.21</v>
      </c>
      <c r="D8" s="4" t="n">
        <v>3.176</v>
      </c>
      <c r="E8" s="5">
        <f>IF(OR(C8=0,D8=""),"",D8/C8)</f>
        <v/>
      </c>
      <c r="F8" s="5" t="n">
        <v>799.29</v>
      </c>
      <c r="G8" s="5" t="n"/>
      <c r="H8" s="5" t="n"/>
      <c r="I8" s="4" t="n">
        <v>4.288</v>
      </c>
      <c r="J8" s="5">
        <f>IF(OR(H8=0,I8=""),"",I8/H8)</f>
        <v/>
      </c>
      <c r="K8" s="5" t="n"/>
      <c r="L8" s="5" t="n">
        <v>9</v>
      </c>
      <c r="M8" s="5" t="n">
        <v>3</v>
      </c>
      <c r="N8" s="4" t="n">
        <v>49</v>
      </c>
      <c r="O8" s="5">
        <f>IF(OR(M8=0,N8=""),"",N8/M8)</f>
        <v/>
      </c>
      <c r="P8" s="5" t="n">
        <v>317.1</v>
      </c>
      <c r="Q8" s="5" t="n">
        <v>91</v>
      </c>
      <c r="R8" s="5" t="n">
        <v>7</v>
      </c>
      <c r="S8" s="4" t="n">
        <v>162</v>
      </c>
      <c r="T8" s="5">
        <f>IF(OR(R8=0,S8=""),"",S8/R8)</f>
        <v/>
      </c>
      <c r="U8" s="5" t="n">
        <v>464.1</v>
      </c>
      <c r="V8" s="5" t="n">
        <v>155</v>
      </c>
      <c r="W8" s="5" t="n">
        <v>5</v>
      </c>
      <c r="X8" s="4" t="n">
        <v>51</v>
      </c>
      <c r="Y8" s="5">
        <f>IF(OR(W8=0,X8=""),"",X8/W8)</f>
        <v/>
      </c>
      <c r="Z8" s="5" t="n">
        <v>164.5</v>
      </c>
      <c r="AA8" s="5" t="n">
        <v>36</v>
      </c>
      <c r="AB8" s="5" t="n">
        <v>7</v>
      </c>
      <c r="AC8" s="4" t="n">
        <v>41</v>
      </c>
      <c r="AD8" s="5">
        <f>IF(OR(AB8=0,AC8=""),"",AC8/AB8)</f>
        <v/>
      </c>
      <c r="AE8" s="5" t="n">
        <v>662.9</v>
      </c>
      <c r="AF8" s="5" t="n">
        <v>48</v>
      </c>
      <c r="AG8" s="5" t="n"/>
      <c r="AH8" s="4" t="n">
        <v>48</v>
      </c>
      <c r="AI8" s="5">
        <f>IF(OR(AG8=0,AH8=""),"",AH8/AG8)</f>
        <v/>
      </c>
      <c r="AJ8" s="5" t="n"/>
      <c r="AK8" s="5" t="n">
        <v>4</v>
      </c>
      <c r="AL8" s="5" t="n">
        <v>23</v>
      </c>
      <c r="AM8" s="4" t="n">
        <v>76</v>
      </c>
      <c r="AN8" s="5">
        <f>IF(OR(AL8=0,AM8=""),"",AM8/AL8)</f>
        <v/>
      </c>
      <c r="AO8" s="5" t="n">
        <v>575</v>
      </c>
      <c r="AP8" s="5" t="n"/>
      <c r="AQ8" s="5" t="n"/>
      <c r="AR8" s="4" t="n">
        <v>4.448</v>
      </c>
      <c r="AS8" s="5">
        <f>IF(OR(AQ8=0,AR8=""),"",AR8/AQ8)</f>
        <v/>
      </c>
      <c r="AT8" s="5" t="n"/>
      <c r="AU8" s="5" t="n">
        <v>39</v>
      </c>
      <c r="AV8" s="5" t="n">
        <v>12</v>
      </c>
      <c r="AW8" s="4" t="n">
        <v>39</v>
      </c>
      <c r="AX8" s="5">
        <f>IF(OR(AV8=0,AW8=""),"",AW8/AV8)</f>
        <v/>
      </c>
      <c r="AY8" s="5" t="n">
        <v>1136.4</v>
      </c>
      <c r="AZ8" s="5" t="n">
        <v>5</v>
      </c>
      <c r="BA8" s="5" t="n"/>
      <c r="BB8" s="4" t="n">
        <v>33</v>
      </c>
      <c r="BC8" s="5">
        <f>IF(OR(BA8=0,BB8=""),"",BB8/BA8)</f>
        <v/>
      </c>
      <c r="BD8" s="5" t="n"/>
      <c r="BE8" s="5" t="n">
        <v>1.21</v>
      </c>
      <c r="BF8" s="5" t="n">
        <v>3.138</v>
      </c>
      <c r="BG8" s="4" t="n">
        <v>13.098</v>
      </c>
      <c r="BH8" s="5">
        <f>IF(OR(BF8=0,BG8=""),"",BG8/BF8)</f>
        <v/>
      </c>
      <c r="BI8" s="5" t="n">
        <v>1187.74</v>
      </c>
      <c r="BJ8" s="5" t="n">
        <v>21.32</v>
      </c>
      <c r="BK8" s="5" t="n">
        <v>0.8139999999999999</v>
      </c>
      <c r="BL8" s="4" t="n">
        <v>16.422</v>
      </c>
      <c r="BM8" s="5">
        <f>IF(OR(BK8=0,BL8=""),"",BL8/BK8)</f>
        <v/>
      </c>
      <c r="BN8" s="5" t="n">
        <v>319.74</v>
      </c>
      <c r="BO8" s="5" t="n">
        <v>410.07</v>
      </c>
      <c r="BP8" s="5" t="n">
        <v>64.16</v>
      </c>
      <c r="BQ8" s="4" t="n">
        <v>540.4299999999999</v>
      </c>
      <c r="BR8" s="5">
        <f>IF(OR(BP8=0,BQ8=""),"",BQ8/BP8)</f>
        <v/>
      </c>
      <c r="BS8" s="5" t="n">
        <v>5626.77</v>
      </c>
    </row>
    <row r="9" ht="11.1" customHeight="1">
      <c r="A9" s="3" t="inlineStr">
        <is>
          <t>Магазин 7 (вул. Є.Коновальця, буд 44-б)</t>
        </is>
      </c>
      <c r="B9" s="8" t="n"/>
      <c r="C9" s="4" t="n">
        <v>1.474</v>
      </c>
      <c r="D9" s="4" t="n">
        <v>1.106</v>
      </c>
      <c r="E9" s="5">
        <f>IF(OR(C9=0,D9=""),"",D9/C9)</f>
        <v/>
      </c>
      <c r="F9" s="5" t="n">
        <v>367.03</v>
      </c>
      <c r="G9" s="8" t="n"/>
      <c r="H9" s="4" t="n"/>
      <c r="I9" s="4" t="n">
        <v>1.42</v>
      </c>
      <c r="J9" s="5">
        <f>IF(OR(H9=0,I9=""),"",I9/H9)</f>
        <v/>
      </c>
      <c r="K9" s="5" t="n"/>
      <c r="L9" s="8" t="n">
        <v>3</v>
      </c>
      <c r="M9" s="4" t="n">
        <v>4</v>
      </c>
      <c r="N9" s="4" t="n">
        <v>3</v>
      </c>
      <c r="O9" s="5">
        <f>IF(OR(M9=0,N9=""),"",N9/M9)</f>
        <v/>
      </c>
      <c r="P9" s="5" t="n">
        <v>422.8</v>
      </c>
      <c r="Q9" s="8" t="n">
        <v>29</v>
      </c>
      <c r="R9" s="4" t="n"/>
      <c r="S9" s="4" t="n">
        <v>29</v>
      </c>
      <c r="T9" s="5">
        <f>IF(OR(R9=0,S9=""),"",S9/R9)</f>
        <v/>
      </c>
      <c r="U9" s="5" t="n"/>
      <c r="V9" s="8" t="n">
        <v>58</v>
      </c>
      <c r="W9" s="4" t="n">
        <v>2</v>
      </c>
      <c r="X9" s="4" t="n">
        <v>12</v>
      </c>
      <c r="Y9" s="5">
        <f>IF(OR(W9=0,X9=""),"",X9/W9)</f>
        <v/>
      </c>
      <c r="Z9" s="5" t="n">
        <v>65.8</v>
      </c>
      <c r="AA9" s="8" t="n">
        <v>21</v>
      </c>
      <c r="AB9" s="4" t="n"/>
      <c r="AC9" s="4" t="n">
        <v>13</v>
      </c>
      <c r="AD9" s="5">
        <f>IF(OR(AB9=0,AC9=""),"",AC9/AB9)</f>
        <v/>
      </c>
      <c r="AE9" s="5" t="n"/>
      <c r="AF9" s="8" t="n">
        <v>2</v>
      </c>
      <c r="AG9" s="4" t="n">
        <v>9</v>
      </c>
      <c r="AH9" s="4" t="n">
        <v>1</v>
      </c>
      <c r="AI9" s="5">
        <f>IF(OR(AG9=0,AH9=""),"",AH9/AG9)</f>
        <v/>
      </c>
      <c r="AJ9" s="5" t="n">
        <v>689.4</v>
      </c>
      <c r="AK9" s="8" t="n">
        <v>2</v>
      </c>
      <c r="AL9" s="4" t="n">
        <v>6</v>
      </c>
      <c r="AM9" s="4" t="n">
        <v>20</v>
      </c>
      <c r="AN9" s="5">
        <f>IF(OR(AL9=0,AM9=""),"",AM9/AL9)</f>
        <v/>
      </c>
      <c r="AO9" s="5" t="n">
        <v>150</v>
      </c>
      <c r="AP9" s="8" t="n">
        <v>1.098</v>
      </c>
      <c r="AQ9" s="4" t="n"/>
      <c r="AR9" s="4" t="n">
        <v>2.398</v>
      </c>
      <c r="AS9" s="5">
        <f>IF(OR(AQ9=0,AR9=""),"",AR9/AQ9)</f>
        <v/>
      </c>
      <c r="AT9" s="5" t="n"/>
      <c r="AU9" s="8" t="n">
        <v>40</v>
      </c>
      <c r="AV9" s="4" t="n">
        <v>3</v>
      </c>
      <c r="AW9" s="4" t="n">
        <v>17</v>
      </c>
      <c r="AX9" s="5">
        <f>IF(OR(AV9=0,AW9=""),"",AW9/AV9)</f>
        <v/>
      </c>
      <c r="AY9" s="5" t="n">
        <v>284.1</v>
      </c>
      <c r="AZ9" s="8" t="n">
        <v>41</v>
      </c>
      <c r="BA9" s="4" t="n">
        <v>6</v>
      </c>
      <c r="BB9" s="4" t="n">
        <v>24</v>
      </c>
      <c r="BC9" s="5">
        <f>IF(OR(BA9=0,BB9=""),"",BB9/BA9)</f>
        <v/>
      </c>
      <c r="BD9" s="5" t="n">
        <v>568.2</v>
      </c>
      <c r="BE9" s="8" t="n"/>
      <c r="BF9" s="4" t="n">
        <v>1.578</v>
      </c>
      <c r="BG9" s="4" t="n">
        <v>2.978</v>
      </c>
      <c r="BH9" s="5">
        <f>IF(OR(BF9=0,BG9=""),"",BG9/BF9)</f>
        <v/>
      </c>
      <c r="BI9" s="5" t="n">
        <v>597.27</v>
      </c>
      <c r="BJ9" s="8" t="n">
        <v>6.834</v>
      </c>
      <c r="BK9" s="4" t="n"/>
      <c r="BL9" s="4" t="n">
        <v>2.784</v>
      </c>
      <c r="BM9" s="5">
        <f>IF(OR(BK9=0,BL9=""),"",BL9/BK9)</f>
        <v/>
      </c>
      <c r="BN9" s="5" t="n"/>
      <c r="BO9" s="8" t="n">
        <v>203.932</v>
      </c>
      <c r="BP9" s="4" t="n">
        <v>33.05</v>
      </c>
      <c r="BQ9" s="4" t="n">
        <v>129.69</v>
      </c>
      <c r="BR9" s="5">
        <f>IF(OR(BP9=0,BQ9=""),"",BQ9/BP9)</f>
        <v/>
      </c>
      <c r="BS9" s="5" t="n">
        <v>3144.6</v>
      </c>
    </row>
    <row r="10" ht="11.1" customHeight="1">
      <c r="A10" s="3" t="inlineStr">
        <is>
          <t>Магазин 8 (м.Ірпінь, вул.10 Лінія, буд.1 б)</t>
        </is>
      </c>
      <c r="B10" s="4" t="n">
        <v>0.424</v>
      </c>
      <c r="C10" s="5" t="n">
        <v>1.48</v>
      </c>
      <c r="D10" s="4" t="n">
        <v>2.864</v>
      </c>
      <c r="E10" s="5">
        <f>IF(OR(C10=0,D10=""),"",D10/C10)</f>
        <v/>
      </c>
      <c r="F10" s="5" t="n">
        <v>368.51</v>
      </c>
      <c r="G10" s="4" t="n">
        <v>1.76</v>
      </c>
      <c r="H10" s="5" t="n">
        <v>1.044</v>
      </c>
      <c r="I10" s="4" t="n">
        <v>1.098</v>
      </c>
      <c r="J10" s="5">
        <f>IF(OR(H10=0,I10=""),"",I10/H10)</f>
        <v/>
      </c>
      <c r="K10" s="5" t="n">
        <v>406.12</v>
      </c>
      <c r="L10" s="4" t="n">
        <v>11</v>
      </c>
      <c r="M10" s="5" t="n">
        <v>8</v>
      </c>
      <c r="N10" s="4" t="n">
        <v>11</v>
      </c>
      <c r="O10" s="5">
        <f>IF(OR(M10=0,N10=""),"",N10/M10)</f>
        <v/>
      </c>
      <c r="P10" s="5" t="n">
        <v>845.6</v>
      </c>
      <c r="Q10" s="4" t="n">
        <v>10</v>
      </c>
      <c r="R10" s="5" t="n">
        <v>1</v>
      </c>
      <c r="S10" s="4" t="n">
        <v>119</v>
      </c>
      <c r="T10" s="5">
        <f>IF(OR(R10=0,S10=""),"",S10/R10)</f>
        <v/>
      </c>
      <c r="U10" s="5" t="n">
        <v>66.3</v>
      </c>
      <c r="V10" s="4" t="n">
        <v>79</v>
      </c>
      <c r="W10" s="5" t="n">
        <v>2</v>
      </c>
      <c r="X10" s="4" t="n">
        <v>35</v>
      </c>
      <c r="Y10" s="5">
        <f>IF(OR(W10=0,X10=""),"",X10/W10)</f>
        <v/>
      </c>
      <c r="Z10" s="5" t="n">
        <v>65.8</v>
      </c>
      <c r="AA10" s="4" t="n">
        <v>26</v>
      </c>
      <c r="AB10" s="5" t="n"/>
      <c r="AC10" s="4" t="n">
        <v>13</v>
      </c>
      <c r="AD10" s="5">
        <f>IF(OR(AB10=0,AC10=""),"",AC10/AB10)</f>
        <v/>
      </c>
      <c r="AE10" s="5" t="n"/>
      <c r="AF10" s="4" t="n">
        <v>22</v>
      </c>
      <c r="AG10" s="5" t="n"/>
      <c r="AH10" s="4" t="n">
        <v>22</v>
      </c>
      <c r="AI10" s="5">
        <f>IF(OR(AG10=0,AH10=""),"",AH10/AG10)</f>
        <v/>
      </c>
      <c r="AJ10" s="5" t="n"/>
      <c r="AK10" s="4" t="n">
        <v>1</v>
      </c>
      <c r="AL10" s="5" t="n">
        <v>14</v>
      </c>
      <c r="AM10" s="4" t="n">
        <v>48</v>
      </c>
      <c r="AN10" s="5">
        <f>IF(OR(AL10=0,AM10=""),"",AM10/AL10)</f>
        <v/>
      </c>
      <c r="AO10" s="5" t="n">
        <v>350</v>
      </c>
      <c r="AP10" s="4" t="n">
        <v>0.002</v>
      </c>
      <c r="AQ10" s="5" t="n"/>
      <c r="AR10" s="4" t="n">
        <v>2.794</v>
      </c>
      <c r="AS10" s="5">
        <f>IF(OR(AQ10=0,AR10=""),"",AR10/AQ10)</f>
        <v/>
      </c>
      <c r="AT10" s="5" t="n"/>
      <c r="AU10" s="4" t="n">
        <v>38</v>
      </c>
      <c r="AV10" s="5" t="n">
        <v>3</v>
      </c>
      <c r="AW10" s="4" t="n">
        <v>9</v>
      </c>
      <c r="AX10" s="5">
        <f>IF(OR(AV10=0,AW10=""),"",AW10/AV10)</f>
        <v/>
      </c>
      <c r="AY10" s="5" t="n">
        <v>284.1</v>
      </c>
      <c r="AZ10" s="4" t="n">
        <v>40</v>
      </c>
      <c r="BA10" s="5" t="n">
        <v>2</v>
      </c>
      <c r="BB10" s="4" t="n">
        <v>23</v>
      </c>
      <c r="BC10" s="5">
        <f>IF(OR(BA10=0,BB10=""),"",BB10/BA10)</f>
        <v/>
      </c>
      <c r="BD10" s="5" t="n">
        <v>189.4</v>
      </c>
      <c r="BE10" s="4" t="n">
        <v>0.004</v>
      </c>
      <c r="BF10" s="5" t="n">
        <v>2.478</v>
      </c>
      <c r="BG10" s="4" t="n">
        <v>13.35</v>
      </c>
      <c r="BH10" s="5">
        <f>IF(OR(BF10=0,BG10=""),"",BG10/BF10)</f>
        <v/>
      </c>
      <c r="BI10" s="5" t="n">
        <v>937.92</v>
      </c>
      <c r="BJ10" s="4" t="n">
        <v>36.556</v>
      </c>
      <c r="BK10" s="5" t="n">
        <v>1.092</v>
      </c>
      <c r="BL10" s="4" t="n">
        <v>13.378</v>
      </c>
      <c r="BM10" s="5">
        <f>IF(OR(BK10=0,BL10=""),"",BL10/BK10)</f>
        <v/>
      </c>
      <c r="BN10" s="5" t="n">
        <v>428.93</v>
      </c>
      <c r="BO10" s="4" t="n">
        <v>265.746</v>
      </c>
      <c r="BP10" s="5" t="n">
        <v>36.09</v>
      </c>
      <c r="BQ10" s="4" t="n">
        <v>313.48</v>
      </c>
      <c r="BR10" s="5">
        <f>IF(OR(BP10=0,BQ10=""),"",BQ10/BP10)</f>
        <v/>
      </c>
      <c r="BS10" s="5" t="n">
        <v>3942.68</v>
      </c>
    </row>
    <row r="11" ht="11.1" customHeight="1">
      <c r="A11" s="3" t="inlineStr">
        <is>
          <t>Магазин 9/1 (вул.Сім'ї Ідзиковських, 4)</t>
        </is>
      </c>
      <c r="B11" s="4" t="n">
        <v>2.382</v>
      </c>
      <c r="C11" s="4" t="n">
        <v>0.896</v>
      </c>
      <c r="D11" s="4" t="n">
        <v>2.39</v>
      </c>
      <c r="E11" s="5">
        <f>IF(OR(C11=0,D11=""),"",D11/C11)</f>
        <v/>
      </c>
      <c r="F11" s="5" t="n">
        <v>223.11</v>
      </c>
      <c r="G11" s="4" t="n"/>
      <c r="H11" s="4" t="n"/>
      <c r="I11" s="4" t="n">
        <v>1.472</v>
      </c>
      <c r="J11" s="5">
        <f>IF(OR(H11=0,I11=""),"",I11/H11)</f>
        <v/>
      </c>
      <c r="K11" s="5" t="n"/>
      <c r="L11" s="4" t="n">
        <v>6</v>
      </c>
      <c r="M11" s="4" t="n">
        <v>1</v>
      </c>
      <c r="N11" s="4" t="n">
        <v>13</v>
      </c>
      <c r="O11" s="5">
        <f>IF(OR(M11=0,N11=""),"",N11/M11)</f>
        <v/>
      </c>
      <c r="P11" s="5" t="n">
        <v>105.7</v>
      </c>
      <c r="Q11" s="4" t="n">
        <v>59</v>
      </c>
      <c r="R11" s="4" t="n"/>
      <c r="S11" s="4" t="n">
        <v>47</v>
      </c>
      <c r="T11" s="5">
        <f>IF(OR(R11=0,S11=""),"",S11/R11)</f>
        <v/>
      </c>
      <c r="U11" s="5" t="n"/>
      <c r="V11" s="4" t="n">
        <v>27</v>
      </c>
      <c r="W11" s="4" t="n"/>
      <c r="X11" s="4" t="n">
        <v>14</v>
      </c>
      <c r="Y11" s="5">
        <f>IF(OR(W11=0,X11=""),"",X11/W11)</f>
        <v/>
      </c>
      <c r="Z11" s="5" t="n"/>
      <c r="AA11" s="4" t="n">
        <v>22</v>
      </c>
      <c r="AB11" s="4" t="n"/>
      <c r="AC11" s="4" t="n">
        <v>17</v>
      </c>
      <c r="AD11" s="5">
        <f>IF(OR(AB11=0,AC11=""),"",AC11/AB11)</f>
        <v/>
      </c>
      <c r="AE11" s="5" t="n"/>
      <c r="AF11" s="4" t="n">
        <v>10</v>
      </c>
      <c r="AG11" s="4" t="n">
        <v>1</v>
      </c>
      <c r="AH11" s="4" t="n">
        <v>6</v>
      </c>
      <c r="AI11" s="5">
        <f>IF(OR(AG11=0,AH11=""),"",AH11/AG11)</f>
        <v/>
      </c>
      <c r="AJ11" s="5" t="n">
        <v>76.59999999999999</v>
      </c>
      <c r="AK11" s="4" t="n">
        <v>2</v>
      </c>
      <c r="AL11" s="4" t="n">
        <v>5</v>
      </c>
      <c r="AM11" s="4" t="n">
        <v>50</v>
      </c>
      <c r="AN11" s="5">
        <f>IF(OR(AL11=0,AM11=""),"",AM11/AL11)</f>
        <v/>
      </c>
      <c r="AO11" s="5" t="n">
        <v>125</v>
      </c>
      <c r="AP11" s="4" t="n">
        <v>0.354</v>
      </c>
      <c r="AQ11" s="4" t="n"/>
      <c r="AR11" s="4" t="n">
        <v>1.224</v>
      </c>
      <c r="AS11" s="5">
        <f>IF(OR(AQ11=0,AR11=""),"",AR11/AQ11)</f>
        <v/>
      </c>
      <c r="AT11" s="5" t="n"/>
      <c r="AU11" s="4" t="n">
        <v>39</v>
      </c>
      <c r="AV11" s="4" t="n"/>
      <c r="AW11" s="4" t="n">
        <v>34</v>
      </c>
      <c r="AX11" s="5">
        <f>IF(OR(AV11=0,AW11=""),"",AW11/AV11)</f>
        <v/>
      </c>
      <c r="AY11" s="5" t="n"/>
      <c r="AZ11" s="4" t="n">
        <v>1</v>
      </c>
      <c r="BA11" s="4" t="n"/>
      <c r="BB11" s="4" t="n">
        <v>25</v>
      </c>
      <c r="BC11" s="5">
        <f>IF(OR(BA11=0,BB11=""),"",BB11/BA11)</f>
        <v/>
      </c>
      <c r="BD11" s="5" t="n"/>
      <c r="BE11" s="4" t="n"/>
      <c r="BF11" s="4" t="n">
        <v>3.104</v>
      </c>
      <c r="BG11" s="4" t="n">
        <v>12.976</v>
      </c>
      <c r="BH11" s="5">
        <f>IF(OR(BF11=0,BG11=""),"",BG11/BF11)</f>
        <v/>
      </c>
      <c r="BI11" s="5" t="n">
        <v>1174.86</v>
      </c>
      <c r="BJ11" s="4" t="n">
        <v>30.728</v>
      </c>
      <c r="BK11" s="4" t="n">
        <v>0.504</v>
      </c>
      <c r="BL11" s="4" t="n">
        <v>15.178</v>
      </c>
      <c r="BM11" s="5">
        <f>IF(OR(BK11=0,BL11=""),"",BL11/BK11)</f>
        <v/>
      </c>
      <c r="BN11" s="5" t="n">
        <v>197.97</v>
      </c>
      <c r="BO11" s="4" t="n">
        <v>199.464</v>
      </c>
      <c r="BP11" s="4" t="n">
        <v>11.5</v>
      </c>
      <c r="BQ11" s="4" t="n">
        <v>239.24</v>
      </c>
      <c r="BR11" s="5">
        <f>IF(OR(BP11=0,BQ11=""),"",BQ11/BP11)</f>
        <v/>
      </c>
      <c r="BS11" s="5" t="n">
        <v>1903.24</v>
      </c>
    </row>
    <row r="12" ht="11.1" customHeight="1">
      <c r="A12" s="3" t="inlineStr">
        <is>
          <t>Магазин10 (пр.Володимира Івасюка, буд.65-б)</t>
        </is>
      </c>
      <c r="B12" s="8" t="n"/>
      <c r="C12" s="4" t="n">
        <v>2.076</v>
      </c>
      <c r="D12" s="4" t="n">
        <v>3.92</v>
      </c>
      <c r="E12" s="5">
        <f>IF(OR(C12=0,D12=""),"",D12/C12)</f>
        <v/>
      </c>
      <c r="F12" s="5" t="n">
        <v>516.92</v>
      </c>
      <c r="G12" s="8" t="n">
        <v>3.156</v>
      </c>
      <c r="H12" s="4" t="n">
        <v>3.608</v>
      </c>
      <c r="I12" s="4" t="n">
        <v>4.96</v>
      </c>
      <c r="J12" s="5">
        <f>IF(OR(H12=0,I12=""),"",I12/H12)</f>
        <v/>
      </c>
      <c r="K12" s="5" t="n">
        <v>1403.5</v>
      </c>
      <c r="L12" s="8" t="n">
        <v>18</v>
      </c>
      <c r="M12" s="4" t="n">
        <v>3</v>
      </c>
      <c r="N12" s="4" t="n">
        <v>18</v>
      </c>
      <c r="O12" s="5">
        <f>IF(OR(M12=0,N12=""),"",N12/M12)</f>
        <v/>
      </c>
      <c r="P12" s="5" t="n">
        <v>317.1</v>
      </c>
      <c r="Q12" s="8" t="n">
        <v>101</v>
      </c>
      <c r="R12" s="4" t="n"/>
      <c r="S12" s="4" t="n">
        <v>194</v>
      </c>
      <c r="T12" s="5">
        <f>IF(OR(R12=0,S12=""),"",S12/R12)</f>
        <v/>
      </c>
      <c r="U12" s="5" t="n"/>
      <c r="V12" s="8" t="n">
        <v>54</v>
      </c>
      <c r="W12" s="4" t="n">
        <v>1</v>
      </c>
      <c r="X12" s="4" t="n">
        <v>4</v>
      </c>
      <c r="Y12" s="5">
        <f>IF(OR(W12=0,X12=""),"",X12/W12)</f>
        <v/>
      </c>
      <c r="Z12" s="5" t="n">
        <v>32.9</v>
      </c>
      <c r="AA12" s="8" t="n">
        <v>8</v>
      </c>
      <c r="AB12" s="4" t="n">
        <v>1</v>
      </c>
      <c r="AC12" s="4" t="n">
        <v>16</v>
      </c>
      <c r="AD12" s="5">
        <f>IF(OR(AB12=0,AC12=""),"",AC12/AB12)</f>
        <v/>
      </c>
      <c r="AE12" s="5" t="n">
        <v>94.7</v>
      </c>
      <c r="AF12" s="8" t="n">
        <v>19</v>
      </c>
      <c r="AG12" s="4" t="n">
        <v>1</v>
      </c>
      <c r="AH12" s="4" t="n">
        <v>4</v>
      </c>
      <c r="AI12" s="5">
        <f>IF(OR(AG12=0,AH12=""),"",AH12/AG12)</f>
        <v/>
      </c>
      <c r="AJ12" s="5" t="n">
        <v>76.59999999999999</v>
      </c>
      <c r="AK12" s="8" t="n">
        <v>6</v>
      </c>
      <c r="AL12" s="4" t="n">
        <v>13</v>
      </c>
      <c r="AM12" s="4" t="n">
        <v>69</v>
      </c>
      <c r="AN12" s="5">
        <f>IF(OR(AL12=0,AM12=""),"",AM12/AL12)</f>
        <v/>
      </c>
      <c r="AO12" s="5" t="n">
        <v>325</v>
      </c>
      <c r="AP12" s="8" t="n"/>
      <c r="AQ12" s="4" t="n"/>
      <c r="AR12" s="4" t="n">
        <v>7.2</v>
      </c>
      <c r="AS12" s="5">
        <f>IF(OR(AQ12=0,AR12=""),"",AR12/AQ12)</f>
        <v/>
      </c>
      <c r="AT12" s="5" t="n"/>
      <c r="AU12" s="8" t="n">
        <v>23</v>
      </c>
      <c r="AV12" s="4" t="n">
        <v>1</v>
      </c>
      <c r="AW12" s="4" t="n">
        <v>22</v>
      </c>
      <c r="AX12" s="5">
        <f>IF(OR(AV12=0,AW12=""),"",AW12/AV12)</f>
        <v/>
      </c>
      <c r="AY12" s="5" t="n">
        <v>94.7</v>
      </c>
      <c r="AZ12" s="8" t="n">
        <v>43</v>
      </c>
      <c r="BA12" s="4" t="n">
        <v>5</v>
      </c>
      <c r="BB12" s="4" t="n">
        <v>42</v>
      </c>
      <c r="BC12" s="5">
        <f>IF(OR(BA12=0,BB12=""),"",BB12/BA12)</f>
        <v/>
      </c>
      <c r="BD12" s="5" t="n">
        <v>473.5</v>
      </c>
      <c r="BE12" s="8" t="n">
        <v>0.002</v>
      </c>
      <c r="BF12" s="4" t="n">
        <v>1.732</v>
      </c>
      <c r="BG12" s="4" t="n">
        <v>8.852</v>
      </c>
      <c r="BH12" s="5">
        <f>IF(OR(BF12=0,BG12=""),"",BG12/BF12)</f>
        <v/>
      </c>
      <c r="BI12" s="5" t="n">
        <v>655.5700000000001</v>
      </c>
      <c r="BJ12" s="8" t="n">
        <v>16.852</v>
      </c>
      <c r="BK12" s="4" t="n"/>
      <c r="BL12" s="4" t="n">
        <v>13.652</v>
      </c>
      <c r="BM12" s="5">
        <f>IF(OR(BK12=0,BL12=""),"",BL12/BK12)</f>
        <v/>
      </c>
      <c r="BN12" s="5" t="n"/>
      <c r="BO12" s="8" t="n">
        <v>292.01</v>
      </c>
      <c r="BP12" s="4" t="n">
        <v>32.42</v>
      </c>
      <c r="BQ12" s="4" t="n">
        <v>407.58</v>
      </c>
      <c r="BR12" s="5">
        <f>IF(OR(BP12=0,BQ12=""),"",BQ12/BP12)</f>
        <v/>
      </c>
      <c r="BS12" s="5" t="n">
        <v>3990.49</v>
      </c>
    </row>
    <row r="13" ht="11.1" customHeight="1">
      <c r="A13" s="3" t="inlineStr">
        <is>
          <t>Магазин11/1 (вул. Автозаводська, 27)</t>
        </is>
      </c>
      <c r="B13" s="6" t="n"/>
      <c r="C13" s="6" t="n"/>
      <c r="D13" s="4" t="n">
        <v>3.698</v>
      </c>
      <c r="E13" s="5">
        <f>IF(OR(C13=0,D13=""),"",D13/C13)</f>
        <v/>
      </c>
      <c r="F13" s="6" t="n"/>
      <c r="G13" s="6" t="n"/>
      <c r="H13" s="6" t="n">
        <v>1.454</v>
      </c>
      <c r="I13" s="4" t="n">
        <v>2.908</v>
      </c>
      <c r="J13" s="5">
        <f>IF(OR(H13=0,I13=""),"",I13/H13)</f>
        <v/>
      </c>
      <c r="K13" s="6" t="n">
        <v>565.61</v>
      </c>
      <c r="L13" s="6" t="n">
        <v>13</v>
      </c>
      <c r="M13" s="6" t="n"/>
      <c r="N13" s="4" t="n">
        <v>13</v>
      </c>
      <c r="O13" s="5">
        <f>IF(OR(M13=0,N13=""),"",N13/M13)</f>
        <v/>
      </c>
      <c r="P13" s="6" t="n"/>
      <c r="Q13" s="6" t="n">
        <v>69</v>
      </c>
      <c r="R13" s="6" t="n">
        <v>1</v>
      </c>
      <c r="S13" s="4" t="n">
        <v>50</v>
      </c>
      <c r="T13" s="5">
        <f>IF(OR(R13=0,S13=""),"",S13/R13)</f>
        <v/>
      </c>
      <c r="U13" s="6" t="n">
        <v>66.3</v>
      </c>
      <c r="V13" s="6" t="n">
        <v>7</v>
      </c>
      <c r="W13" s="6" t="n"/>
      <c r="X13" s="4" t="n">
        <v>7</v>
      </c>
      <c r="Y13" s="5">
        <f>IF(OR(W13=0,X13=""),"",X13/W13)</f>
        <v/>
      </c>
      <c r="Z13" s="6" t="n"/>
      <c r="AA13" s="6" t="n">
        <v>25</v>
      </c>
      <c r="AB13" s="6" t="n">
        <v>2</v>
      </c>
      <c r="AC13" s="4" t="n">
        <v>20</v>
      </c>
      <c r="AD13" s="5">
        <f>IF(OR(AB13=0,AC13=""),"",AC13/AB13)</f>
        <v/>
      </c>
      <c r="AE13" s="6" t="n">
        <v>189.4</v>
      </c>
      <c r="AF13" s="6" t="n">
        <v>17</v>
      </c>
      <c r="AG13" s="6" t="n">
        <v>6</v>
      </c>
      <c r="AH13" s="4" t="n">
        <v>17</v>
      </c>
      <c r="AI13" s="5">
        <f>IF(OR(AG13=0,AH13=""),"",AH13/AG13)</f>
        <v/>
      </c>
      <c r="AJ13" s="6" t="n">
        <v>459.6</v>
      </c>
      <c r="AK13" s="6" t="n"/>
      <c r="AL13" s="6" t="n"/>
      <c r="AM13" s="4" t="n">
        <v>15</v>
      </c>
      <c r="AN13" s="5">
        <f>IF(OR(AL13=0,AM13=""),"",AM13/AL13)</f>
        <v/>
      </c>
      <c r="AO13" s="6" t="n"/>
      <c r="AP13" s="6" t="n"/>
      <c r="AQ13" s="6" t="n"/>
      <c r="AR13" s="4" t="n">
        <v>2.812</v>
      </c>
      <c r="AS13" s="5">
        <f>IF(OR(AQ13=0,AR13=""),"",AR13/AQ13)</f>
        <v/>
      </c>
      <c r="AT13" s="6" t="n"/>
      <c r="AU13" s="6" t="n">
        <v>33</v>
      </c>
      <c r="AV13" s="6" t="n">
        <v>1</v>
      </c>
      <c r="AW13" s="4" t="n">
        <v>22</v>
      </c>
      <c r="AX13" s="5">
        <f>IF(OR(AV13=0,AW13=""),"",AW13/AV13)</f>
        <v/>
      </c>
      <c r="AY13" s="6" t="n">
        <v>94.7</v>
      </c>
      <c r="AZ13" s="6" t="n">
        <v>33</v>
      </c>
      <c r="BA13" s="6" t="n">
        <v>1</v>
      </c>
      <c r="BB13" s="4" t="n">
        <v>26</v>
      </c>
      <c r="BC13" s="5">
        <f>IF(OR(BA13=0,BB13=""),"",BB13/BA13)</f>
        <v/>
      </c>
      <c r="BD13" s="6" t="n">
        <v>94.7</v>
      </c>
      <c r="BE13" s="6" t="n"/>
      <c r="BF13" s="6" t="n">
        <v>2.98</v>
      </c>
      <c r="BG13" s="4" t="n">
        <v>7.492</v>
      </c>
      <c r="BH13" s="5">
        <f>IF(OR(BF13=0,BG13=""),"",BG13/BF13)</f>
        <v/>
      </c>
      <c r="BI13" s="6" t="n">
        <v>1127.94</v>
      </c>
      <c r="BJ13" s="6" t="n">
        <v>20.682</v>
      </c>
      <c r="BK13" s="6" t="n">
        <v>0.036</v>
      </c>
      <c r="BL13" s="4" t="n">
        <v>1.158</v>
      </c>
      <c r="BM13" s="5">
        <f>IF(OR(BK13=0,BL13=""),"",BL13/BK13)</f>
        <v/>
      </c>
      <c r="BN13" s="6" t="n">
        <v>14.14</v>
      </c>
      <c r="BO13" s="6" t="n">
        <v>217.682</v>
      </c>
      <c r="BP13" s="6" t="n">
        <v>15.47</v>
      </c>
      <c r="BQ13" s="4" t="n">
        <v>188.07</v>
      </c>
      <c r="BR13" s="5">
        <f>IF(OR(BP13=0,BQ13=""),"",BQ13/BP13)</f>
        <v/>
      </c>
      <c r="BS13" s="6" t="n">
        <v>2612.39</v>
      </c>
    </row>
    <row r="14" ht="11.1" customHeight="1">
      <c r="A14" s="3" t="inlineStr">
        <is>
          <t>Магазин12 (вул.Антоновича, буд.115-Д)</t>
        </is>
      </c>
      <c r="B14" s="5" t="n">
        <v>0.88</v>
      </c>
      <c r="C14" s="4" t="n">
        <v>2.908</v>
      </c>
      <c r="D14" s="4" t="n">
        <v>13.054</v>
      </c>
      <c r="E14" s="5">
        <f>IF(OR(C14=0,D14=""),"",D14/C14)</f>
        <v/>
      </c>
      <c r="F14" s="5" t="n">
        <v>724.09</v>
      </c>
      <c r="G14" s="5" t="n">
        <v>-0.548</v>
      </c>
      <c r="H14" s="4" t="n"/>
      <c r="I14" s="4" t="n">
        <v>31.754</v>
      </c>
      <c r="J14" s="5">
        <f>IF(OR(H14=0,I14=""),"",I14/H14)</f>
        <v/>
      </c>
      <c r="K14" s="5" t="n"/>
      <c r="L14" s="5" t="n">
        <v>-1</v>
      </c>
      <c r="M14" s="4" t="n">
        <v>8</v>
      </c>
      <c r="N14" s="4" t="n"/>
      <c r="O14" s="5">
        <f>IF(OR(M14=0,N14=""),"",N14/M14)</f>
        <v/>
      </c>
      <c r="P14" s="5" t="n">
        <v>845.6</v>
      </c>
      <c r="Q14" s="5" t="n">
        <v>245</v>
      </c>
      <c r="R14" s="4" t="n">
        <v>3</v>
      </c>
      <c r="S14" s="4" t="n">
        <v>235</v>
      </c>
      <c r="T14" s="5">
        <f>IF(OR(R14=0,S14=""),"",S14/R14)</f>
        <v/>
      </c>
      <c r="U14" s="5" t="n">
        <v>198.9</v>
      </c>
      <c r="V14" s="5" t="n">
        <v>157</v>
      </c>
      <c r="W14" s="4" t="n">
        <v>1</v>
      </c>
      <c r="X14" s="4" t="n">
        <v>72</v>
      </c>
      <c r="Y14" s="5">
        <f>IF(OR(W14=0,X14=""),"",X14/W14)</f>
        <v/>
      </c>
      <c r="Z14" s="5" t="n">
        <v>32.9</v>
      </c>
      <c r="AA14" s="5" t="n">
        <v>32</v>
      </c>
      <c r="AB14" s="4" t="n">
        <v>1</v>
      </c>
      <c r="AC14" s="4" t="n">
        <v>30</v>
      </c>
      <c r="AD14" s="5">
        <f>IF(OR(AB14=0,AC14=""),"",AC14/AB14)</f>
        <v/>
      </c>
      <c r="AE14" s="5" t="n">
        <v>94.7</v>
      </c>
      <c r="AF14" s="5" t="n">
        <v>9</v>
      </c>
      <c r="AG14" s="4" t="n"/>
      <c r="AH14" s="4" t="n">
        <v>9</v>
      </c>
      <c r="AI14" s="5">
        <f>IF(OR(AG14=0,AH14=""),"",AH14/AG14)</f>
        <v/>
      </c>
      <c r="AJ14" s="5" t="n"/>
      <c r="AK14" s="5" t="n"/>
      <c r="AL14" s="4" t="n">
        <v>5</v>
      </c>
      <c r="AM14" s="4" t="n">
        <v>53</v>
      </c>
      <c r="AN14" s="5">
        <f>IF(OR(AL14=0,AM14=""),"",AM14/AL14)</f>
        <v/>
      </c>
      <c r="AO14" s="5" t="n">
        <v>125</v>
      </c>
      <c r="AP14" s="5" t="n"/>
      <c r="AQ14" s="4" t="n"/>
      <c r="AR14" s="4" t="n">
        <v>19.668</v>
      </c>
      <c r="AS14" s="5">
        <f>IF(OR(AQ14=0,AR14=""),"",AR14/AQ14)</f>
        <v/>
      </c>
      <c r="AT14" s="5" t="n"/>
      <c r="AU14" s="5" t="n">
        <v>60</v>
      </c>
      <c r="AV14" s="4" t="n">
        <v>5</v>
      </c>
      <c r="AW14" s="4" t="n">
        <v>33</v>
      </c>
      <c r="AX14" s="5">
        <f>IF(OR(AV14=0,AW14=""),"",AW14/AV14)</f>
        <v/>
      </c>
      <c r="AY14" s="5" t="n">
        <v>473.5</v>
      </c>
      <c r="AZ14" s="5" t="n"/>
      <c r="BA14" s="4" t="n">
        <v>2</v>
      </c>
      <c r="BB14" s="4" t="n">
        <v>77</v>
      </c>
      <c r="BC14" s="5">
        <f>IF(OR(BA14=0,BB14=""),"",BB14/BA14)</f>
        <v/>
      </c>
      <c r="BD14" s="5" t="n">
        <v>189.4</v>
      </c>
      <c r="BE14" s="5" t="n"/>
      <c r="BF14" s="4" t="n">
        <v>1.168</v>
      </c>
      <c r="BG14" s="4" t="n">
        <v>26.656</v>
      </c>
      <c r="BH14" s="5">
        <f>IF(OR(BF14=0,BG14=""),"",BG14/BF14)</f>
        <v/>
      </c>
      <c r="BI14" s="5" t="n">
        <v>442.09</v>
      </c>
      <c r="BJ14" s="5" t="n">
        <v>2.058</v>
      </c>
      <c r="BK14" s="4" t="n">
        <v>0.786</v>
      </c>
      <c r="BL14" s="4" t="n">
        <v>30.83</v>
      </c>
      <c r="BM14" s="5">
        <f>IF(OR(BK14=0,BL14=""),"",BL14/BK14)</f>
        <v/>
      </c>
      <c r="BN14" s="5" t="n">
        <v>308.74</v>
      </c>
      <c r="BO14" s="5" t="n">
        <v>504.39</v>
      </c>
      <c r="BP14" s="4" t="n">
        <v>29.86</v>
      </c>
      <c r="BQ14" s="4" t="n">
        <v>630.96</v>
      </c>
      <c r="BR14" s="5">
        <f>IF(OR(BP14=0,BQ14=""),"",BQ14/BP14)</f>
        <v/>
      </c>
      <c r="BS14" s="5" t="n">
        <v>3434.92</v>
      </c>
    </row>
    <row r="15" ht="11.1" customHeight="1">
      <c r="A15" s="3" t="inlineStr">
        <is>
          <t>Магазин13/1 (с.Тарасівка,вул.Братів Чмілів,буд 3-А)</t>
        </is>
      </c>
      <c r="B15" s="8" t="n"/>
      <c r="C15" s="4" t="n">
        <v>0.912</v>
      </c>
      <c r="D15" s="4" t="n"/>
      <c r="E15" s="5">
        <f>IF(OR(C15=0,D15=""),"",D15/C15)</f>
        <v/>
      </c>
      <c r="F15" s="5" t="n">
        <v>227.09</v>
      </c>
      <c r="G15" s="8" t="n"/>
      <c r="H15" s="4" t="n"/>
      <c r="I15" s="4" t="n">
        <v>0.716</v>
      </c>
      <c r="J15" s="5">
        <f>IF(OR(H15=0,I15=""),"",I15/H15)</f>
        <v/>
      </c>
      <c r="K15" s="5" t="n"/>
      <c r="L15" s="8" t="n">
        <v>9</v>
      </c>
      <c r="M15" s="4" t="n">
        <v>1</v>
      </c>
      <c r="N15" s="4" t="n">
        <v>14</v>
      </c>
      <c r="O15" s="5">
        <f>IF(OR(M15=0,N15=""),"",N15/M15)</f>
        <v/>
      </c>
      <c r="P15" s="5" t="n">
        <v>105.7</v>
      </c>
      <c r="Q15" s="8" t="n">
        <v>142</v>
      </c>
      <c r="R15" s="4" t="n">
        <v>5</v>
      </c>
      <c r="S15" s="4" t="n">
        <v>141</v>
      </c>
      <c r="T15" s="5">
        <f>IF(OR(R15=0,S15=""),"",S15/R15)</f>
        <v/>
      </c>
      <c r="U15" s="5" t="n">
        <v>331.5</v>
      </c>
      <c r="V15" s="8" t="n">
        <v>51</v>
      </c>
      <c r="W15" s="4" t="n">
        <v>8</v>
      </c>
      <c r="X15" s="4" t="n">
        <v>13</v>
      </c>
      <c r="Y15" s="5">
        <f>IF(OR(W15=0,X15=""),"",X15/W15)</f>
        <v/>
      </c>
      <c r="Z15" s="5" t="n">
        <v>263.2</v>
      </c>
      <c r="AA15" s="8" t="n">
        <v>18</v>
      </c>
      <c r="AB15" s="4" t="n"/>
      <c r="AC15" s="4" t="n">
        <v>7</v>
      </c>
      <c r="AD15" s="5">
        <f>IF(OR(AB15=0,AC15=""),"",AC15/AB15)</f>
        <v/>
      </c>
      <c r="AE15" s="5" t="n"/>
      <c r="AF15" s="8" t="n"/>
      <c r="AG15" s="4" t="n">
        <v>1</v>
      </c>
      <c r="AH15" s="4" t="n"/>
      <c r="AI15" s="5">
        <f>IF(OR(AG15=0,AH15=""),"",AH15/AG15)</f>
        <v/>
      </c>
      <c r="AJ15" s="5" t="n">
        <v>76.59999999999999</v>
      </c>
      <c r="AK15" s="8" t="n">
        <v>1</v>
      </c>
      <c r="AL15" s="4" t="n">
        <v>14</v>
      </c>
      <c r="AM15" s="4" t="n">
        <v>21</v>
      </c>
      <c r="AN15" s="5">
        <f>IF(OR(AL15=0,AM15=""),"",AM15/AL15)</f>
        <v/>
      </c>
      <c r="AO15" s="5" t="n">
        <v>350</v>
      </c>
      <c r="AP15" s="8" t="n"/>
      <c r="AQ15" s="4" t="n"/>
      <c r="AR15" s="4" t="n"/>
      <c r="AS15" s="5">
        <f>IF(OR(AQ15=0,AR15=""),"",AR15/AQ15)</f>
        <v/>
      </c>
      <c r="AT15" s="5" t="n"/>
      <c r="AU15" s="8" t="n">
        <v>43</v>
      </c>
      <c r="AV15" s="4" t="n"/>
      <c r="AW15" s="4" t="n">
        <v>5</v>
      </c>
      <c r="AX15" s="5">
        <f>IF(OR(AV15=0,AW15=""),"",AW15/AV15)</f>
        <v/>
      </c>
      <c r="AY15" s="5" t="n"/>
      <c r="AZ15" s="8" t="n">
        <v>32</v>
      </c>
      <c r="BA15" s="4" t="n">
        <v>6</v>
      </c>
      <c r="BB15" s="4" t="n">
        <v>21</v>
      </c>
      <c r="BC15" s="5">
        <f>IF(OR(BA15=0,BB15=""),"",BB15/BA15)</f>
        <v/>
      </c>
      <c r="BD15" s="5" t="n">
        <v>568.2</v>
      </c>
      <c r="BE15" s="8" t="n">
        <v>0.354</v>
      </c>
      <c r="BF15" s="4" t="n">
        <v>2.092</v>
      </c>
      <c r="BG15" s="4" t="n">
        <v>5.344</v>
      </c>
      <c r="BH15" s="5">
        <f>IF(OR(BF15=0,BG15=""),"",BG15/BF15)</f>
        <v/>
      </c>
      <c r="BI15" s="5" t="n">
        <v>791.8200000000001</v>
      </c>
      <c r="BJ15" s="8" t="n">
        <v>30.024</v>
      </c>
      <c r="BK15" s="4" t="n">
        <v>0.106</v>
      </c>
      <c r="BL15" s="4" t="n">
        <v>7.57</v>
      </c>
      <c r="BM15" s="5">
        <f>IF(OR(BK15=0,BL15=""),"",BL15/BK15)</f>
        <v/>
      </c>
      <c r="BN15" s="5" t="n">
        <v>41.64</v>
      </c>
      <c r="BO15" s="8" t="n">
        <v>326.378</v>
      </c>
      <c r="BP15" s="4" t="n">
        <v>38.11</v>
      </c>
      <c r="BQ15" s="4" t="n">
        <v>235.63</v>
      </c>
      <c r="BR15" s="5">
        <f>IF(OR(BP15=0,BQ15=""),"",BQ15/BP15)</f>
        <v/>
      </c>
      <c r="BS15" s="5" t="n">
        <v>2755.75</v>
      </c>
    </row>
    <row r="16" ht="11.1" customHeight="1">
      <c r="A16" s="3" t="inlineStr">
        <is>
          <t>Магазин14 (вул.Світла,буд 3Д.корп.1,приміщ.2013)</t>
        </is>
      </c>
      <c r="B16" s="4" t="n">
        <v>0.276</v>
      </c>
      <c r="C16" s="5" t="n">
        <v>3.12</v>
      </c>
      <c r="D16" s="4" t="n">
        <v>4.12</v>
      </c>
      <c r="E16" s="5">
        <f>IF(OR(C16=0,D16=""),"",D16/C16)</f>
        <v/>
      </c>
      <c r="F16" s="5" t="n">
        <v>776.88</v>
      </c>
      <c r="G16" s="4" t="n">
        <v>2.362</v>
      </c>
      <c r="H16" s="5" t="n">
        <v>3.204</v>
      </c>
      <c r="I16" s="4" t="n">
        <v>8.52</v>
      </c>
      <c r="J16" s="5">
        <f>IF(OR(H16=0,I16=""),"",I16/H16)</f>
        <v/>
      </c>
      <c r="K16" s="5" t="n">
        <v>1175.75</v>
      </c>
      <c r="L16" s="4" t="n">
        <v>11</v>
      </c>
      <c r="M16" s="5" t="n">
        <v>1</v>
      </c>
      <c r="N16" s="4" t="n">
        <v>34</v>
      </c>
      <c r="O16" s="5">
        <f>IF(OR(M16=0,N16=""),"",N16/M16)</f>
        <v/>
      </c>
      <c r="P16" s="5" t="n">
        <v>105.7</v>
      </c>
      <c r="Q16" s="4" t="n">
        <v>96</v>
      </c>
      <c r="R16" s="5" t="n">
        <v>4</v>
      </c>
      <c r="S16" s="4" t="n">
        <v>107</v>
      </c>
      <c r="T16" s="5">
        <f>IF(OR(R16=0,S16=""),"",S16/R16)</f>
        <v/>
      </c>
      <c r="U16" s="5" t="n">
        <v>265.2</v>
      </c>
      <c r="V16" s="4" t="n">
        <v>75</v>
      </c>
      <c r="W16" s="5" t="n">
        <v>3</v>
      </c>
      <c r="X16" s="4" t="n">
        <v>40</v>
      </c>
      <c r="Y16" s="5">
        <f>IF(OR(W16=0,X16=""),"",X16/W16)</f>
        <v/>
      </c>
      <c r="Z16" s="5" t="n">
        <v>98.7</v>
      </c>
      <c r="AA16" s="4" t="n">
        <v>25</v>
      </c>
      <c r="AB16" s="5" t="n">
        <v>1</v>
      </c>
      <c r="AC16" s="4" t="n">
        <v>20</v>
      </c>
      <c r="AD16" s="5">
        <f>IF(OR(AB16=0,AC16=""),"",AC16/AB16)</f>
        <v/>
      </c>
      <c r="AE16" s="5" t="n">
        <v>94.7</v>
      </c>
      <c r="AF16" s="4" t="n">
        <v>63</v>
      </c>
      <c r="AG16" s="5" t="n">
        <v>2</v>
      </c>
      <c r="AH16" s="4" t="n">
        <v>37</v>
      </c>
      <c r="AI16" s="5">
        <f>IF(OR(AG16=0,AH16=""),"",AH16/AG16)</f>
        <v/>
      </c>
      <c r="AJ16" s="5" t="n">
        <v>153.2</v>
      </c>
      <c r="AK16" s="4" t="n"/>
      <c r="AL16" s="5" t="n"/>
      <c r="AM16" s="4" t="n">
        <v>53</v>
      </c>
      <c r="AN16" s="5">
        <f>IF(OR(AL16=0,AM16=""),"",AM16/AL16)</f>
        <v/>
      </c>
      <c r="AO16" s="5" t="n"/>
      <c r="AP16" s="4" t="n"/>
      <c r="AQ16" s="5" t="n"/>
      <c r="AR16" s="4" t="n">
        <v>6.784</v>
      </c>
      <c r="AS16" s="5">
        <f>IF(OR(AQ16=0,AR16=""),"",AR16/AQ16)</f>
        <v/>
      </c>
      <c r="AT16" s="5" t="n"/>
      <c r="AU16" s="4" t="n">
        <v>36</v>
      </c>
      <c r="AV16" s="5" t="n">
        <v>4</v>
      </c>
      <c r="AW16" s="4" t="n">
        <v>21</v>
      </c>
      <c r="AX16" s="5">
        <f>IF(OR(AV16=0,AW16=""),"",AW16/AV16)</f>
        <v/>
      </c>
      <c r="AY16" s="5" t="n">
        <v>378.8</v>
      </c>
      <c r="AZ16" s="4" t="n">
        <v>40</v>
      </c>
      <c r="BA16" s="5" t="n">
        <v>3</v>
      </c>
      <c r="BB16" s="4" t="n">
        <v>16</v>
      </c>
      <c r="BC16" s="5">
        <f>IF(OR(BA16=0,BB16=""),"",BB16/BA16)</f>
        <v/>
      </c>
      <c r="BD16" s="5" t="n">
        <v>284.1</v>
      </c>
      <c r="BE16" s="4" t="n"/>
      <c r="BF16" s="5" t="n">
        <v>2.766</v>
      </c>
      <c r="BG16" s="4" t="n">
        <v>22.426</v>
      </c>
      <c r="BH16" s="5">
        <f>IF(OR(BF16=0,BG16=""),"",BG16/BF16)</f>
        <v/>
      </c>
      <c r="BI16" s="5" t="n">
        <v>1046.94</v>
      </c>
      <c r="BJ16" s="4" t="n">
        <v>27.432</v>
      </c>
      <c r="BK16" s="5" t="n">
        <v>0.574</v>
      </c>
      <c r="BL16" s="4" t="n">
        <v>18.72</v>
      </c>
      <c r="BM16" s="5">
        <f>IF(OR(BK16=0,BL16=""),"",BL16/BK16)</f>
        <v/>
      </c>
      <c r="BN16" s="5" t="n">
        <v>225.48</v>
      </c>
      <c r="BO16" s="4" t="n">
        <v>376.07</v>
      </c>
      <c r="BP16" s="5" t="n">
        <v>27.66</v>
      </c>
      <c r="BQ16" s="4" t="n">
        <v>388.57</v>
      </c>
      <c r="BR16" s="5">
        <f>IF(OR(BP16=0,BQ16=""),"",BQ16/BP16)</f>
        <v/>
      </c>
      <c r="BS16" s="5" t="n">
        <v>4605.45</v>
      </c>
    </row>
    <row r="17" ht="11.1" customHeight="1">
      <c r="A17" s="3" t="inlineStr">
        <is>
          <t>Магазин15 (вул.Шолом-Алейхема, буд.10А)</t>
        </is>
      </c>
      <c r="B17" s="4" t="n">
        <v>0.576</v>
      </c>
      <c r="C17" s="4" t="n">
        <v>2.128</v>
      </c>
      <c r="D17" s="4" t="n">
        <v>4.358</v>
      </c>
      <c r="E17" s="5">
        <f>IF(OR(C17=0,D17=""),"",D17/C17)</f>
        <v/>
      </c>
      <c r="F17" s="5" t="n">
        <v>529.86</v>
      </c>
      <c r="G17" s="4" t="n">
        <v>0.012</v>
      </c>
      <c r="H17" s="4" t="n">
        <v>1.094</v>
      </c>
      <c r="I17" s="4" t="n">
        <v>3.688</v>
      </c>
      <c r="J17" s="5">
        <f>IF(OR(H17=0,I17=""),"",I17/H17)</f>
        <v/>
      </c>
      <c r="K17" s="5" t="n">
        <v>425.56</v>
      </c>
      <c r="L17" s="4" t="n">
        <v>11</v>
      </c>
      <c r="M17" s="4" t="n"/>
      <c r="N17" s="4" t="n">
        <v>38</v>
      </c>
      <c r="O17" s="5">
        <f>IF(OR(M17=0,N17=""),"",N17/M17)</f>
        <v/>
      </c>
      <c r="P17" s="5" t="n"/>
      <c r="Q17" s="4" t="n">
        <v>76</v>
      </c>
      <c r="R17" s="4" t="n">
        <v>3</v>
      </c>
      <c r="S17" s="4" t="n">
        <v>110</v>
      </c>
      <c r="T17" s="5">
        <f>IF(OR(R17=0,S17=""),"",S17/R17)</f>
        <v/>
      </c>
      <c r="U17" s="5" t="n">
        <v>198.9</v>
      </c>
      <c r="V17" s="4" t="n">
        <v>88</v>
      </c>
      <c r="W17" s="4" t="n">
        <v>1</v>
      </c>
      <c r="X17" s="4" t="n">
        <v>22</v>
      </c>
      <c r="Y17" s="5">
        <f>IF(OR(W17=0,X17=""),"",X17/W17)</f>
        <v/>
      </c>
      <c r="Z17" s="5" t="n">
        <v>32.9</v>
      </c>
      <c r="AA17" s="4" t="n">
        <v>33</v>
      </c>
      <c r="AB17" s="4" t="n">
        <v>2</v>
      </c>
      <c r="AC17" s="4" t="n">
        <v>22</v>
      </c>
      <c r="AD17" s="5">
        <f>IF(OR(AB17=0,AC17=""),"",AC17/AB17)</f>
        <v/>
      </c>
      <c r="AE17" s="5" t="n">
        <v>189.4</v>
      </c>
      <c r="AF17" s="4" t="n">
        <v>16</v>
      </c>
      <c r="AG17" s="4" t="n">
        <v>1</v>
      </c>
      <c r="AH17" s="4" t="n">
        <v>48</v>
      </c>
      <c r="AI17" s="5">
        <f>IF(OR(AG17=0,AH17=""),"",AH17/AG17)</f>
        <v/>
      </c>
      <c r="AJ17" s="5" t="n">
        <v>76.59999999999999</v>
      </c>
      <c r="AK17" s="4" t="n"/>
      <c r="AL17" s="4" t="n">
        <v>6</v>
      </c>
      <c r="AM17" s="4" t="n">
        <v>46</v>
      </c>
      <c r="AN17" s="5">
        <f>IF(OR(AL17=0,AM17=""),"",AM17/AL17)</f>
        <v/>
      </c>
      <c r="AO17" s="5" t="n">
        <v>150</v>
      </c>
      <c r="AP17" s="4" t="n">
        <v>0.368</v>
      </c>
      <c r="AQ17" s="4" t="n"/>
      <c r="AR17" s="4" t="n">
        <v>1.616</v>
      </c>
      <c r="AS17" s="5">
        <f>IF(OR(AQ17=0,AR17=""),"",AR17/AQ17)</f>
        <v/>
      </c>
      <c r="AT17" s="5" t="n"/>
      <c r="AU17" s="4" t="n">
        <v>37</v>
      </c>
      <c r="AV17" s="4" t="n">
        <v>1</v>
      </c>
      <c r="AW17" s="4" t="n">
        <v>15</v>
      </c>
      <c r="AX17" s="5">
        <f>IF(OR(AV17=0,AW17=""),"",AW17/AV17)</f>
        <v/>
      </c>
      <c r="AY17" s="5" t="n">
        <v>94.7</v>
      </c>
      <c r="AZ17" s="4" t="n">
        <v>39</v>
      </c>
      <c r="BA17" s="4" t="n">
        <v>2</v>
      </c>
      <c r="BB17" s="4" t="n">
        <v>58</v>
      </c>
      <c r="BC17" s="5">
        <f>IF(OR(BA17=0,BB17=""),"",BB17/BA17)</f>
        <v/>
      </c>
      <c r="BD17" s="5" t="n">
        <v>189.4</v>
      </c>
      <c r="BE17" s="4" t="n">
        <v>0.504</v>
      </c>
      <c r="BF17" s="4" t="n">
        <v>2.306</v>
      </c>
      <c r="BG17" s="4" t="n">
        <v>10.746</v>
      </c>
      <c r="BH17" s="5">
        <f>IF(OR(BF17=0,BG17=""),"",BG17/BF17)</f>
        <v/>
      </c>
      <c r="BI17" s="5" t="n">
        <v>872.83</v>
      </c>
      <c r="BJ17" s="4" t="n">
        <v>6.618</v>
      </c>
      <c r="BK17" s="4" t="n"/>
      <c r="BL17" s="4" t="n">
        <v>2.096</v>
      </c>
      <c r="BM17" s="5">
        <f>IF(OR(BK17=0,BL17=""),"",BL17/BK17)</f>
        <v/>
      </c>
      <c r="BN17" s="5" t="n"/>
      <c r="BO17" s="4" t="n">
        <v>308.078</v>
      </c>
      <c r="BP17" s="4" t="n">
        <v>21.53</v>
      </c>
      <c r="BQ17" s="4" t="n">
        <v>381.5</v>
      </c>
      <c r="BR17" s="5">
        <f>IF(OR(BP17=0,BQ17=""),"",BQ17/BP17)</f>
        <v/>
      </c>
      <c r="BS17" s="5" t="n">
        <v>2760.15</v>
      </c>
    </row>
    <row r="18" ht="11.1" customHeight="1">
      <c r="A18" s="3" t="inlineStr">
        <is>
          <t>Магазин16 (пр.Романа Шухевича, буд 11-А)</t>
        </is>
      </c>
      <c r="B18" s="8" t="n"/>
      <c r="C18" s="4" t="n">
        <v>1.032</v>
      </c>
      <c r="D18" s="4" t="n">
        <v>1.792</v>
      </c>
      <c r="E18" s="5">
        <f>IF(OR(C18=0,D18=""),"",D18/C18)</f>
        <v/>
      </c>
      <c r="F18" s="5" t="n">
        <v>256.96</v>
      </c>
      <c r="G18" s="8" t="n"/>
      <c r="H18" s="4" t="n"/>
      <c r="I18" s="4" t="n">
        <v>1.46</v>
      </c>
      <c r="J18" s="5">
        <f>IF(OR(H18=0,I18=""),"",I18/H18)</f>
        <v/>
      </c>
      <c r="K18" s="5" t="n"/>
      <c r="L18" s="8" t="n">
        <v>8</v>
      </c>
      <c r="M18" s="4" t="n"/>
      <c r="N18" s="4" t="n">
        <v>26</v>
      </c>
      <c r="O18" s="5">
        <f>IF(OR(M18=0,N18=""),"",N18/M18)</f>
        <v/>
      </c>
      <c r="P18" s="5" t="n"/>
      <c r="Q18" s="8" t="n">
        <v>37</v>
      </c>
      <c r="R18" s="4" t="n"/>
      <c r="S18" s="4" t="n">
        <v>31</v>
      </c>
      <c r="T18" s="5">
        <f>IF(OR(R18=0,S18=""),"",S18/R18)</f>
        <v/>
      </c>
      <c r="U18" s="5" t="n"/>
      <c r="V18" s="8" t="n">
        <v>45</v>
      </c>
      <c r="W18" s="4" t="n"/>
      <c r="X18" s="4" t="n">
        <v>8</v>
      </c>
      <c r="Y18" s="5">
        <f>IF(OR(W18=0,X18=""),"",X18/W18)</f>
        <v/>
      </c>
      <c r="Z18" s="5" t="n"/>
      <c r="AA18" s="8" t="n">
        <v>24</v>
      </c>
      <c r="AB18" s="4" t="n"/>
      <c r="AC18" s="4" t="n">
        <v>15</v>
      </c>
      <c r="AD18" s="5">
        <f>IF(OR(AB18=0,AC18=""),"",AC18/AB18)</f>
        <v/>
      </c>
      <c r="AE18" s="5" t="n"/>
      <c r="AF18" s="8" t="n">
        <v>22</v>
      </c>
      <c r="AG18" s="4" t="n">
        <v>2</v>
      </c>
      <c r="AH18" s="4" t="n">
        <v>15</v>
      </c>
      <c r="AI18" s="5">
        <f>IF(OR(AG18=0,AH18=""),"",AH18/AG18)</f>
        <v/>
      </c>
      <c r="AJ18" s="5" t="n">
        <v>153.2</v>
      </c>
      <c r="AK18" s="8" t="n"/>
      <c r="AL18" s="4" t="n">
        <v>2</v>
      </c>
      <c r="AM18" s="4" t="n">
        <v>15</v>
      </c>
      <c r="AN18" s="5">
        <f>IF(OR(AL18=0,AM18=""),"",AM18/AL18)</f>
        <v/>
      </c>
      <c r="AO18" s="5" t="n">
        <v>50</v>
      </c>
      <c r="AP18" s="8" t="n">
        <v>1.156</v>
      </c>
      <c r="AQ18" s="4" t="n"/>
      <c r="AR18" s="4" t="n">
        <v>1.206</v>
      </c>
      <c r="AS18" s="5">
        <f>IF(OR(AQ18=0,AR18=""),"",AR18/AQ18)</f>
        <v/>
      </c>
      <c r="AT18" s="5" t="n"/>
      <c r="AU18" s="8" t="n">
        <v>14</v>
      </c>
      <c r="AV18" s="4" t="n"/>
      <c r="AW18" s="4" t="n">
        <v>16</v>
      </c>
      <c r="AX18" s="5">
        <f>IF(OR(AV18=0,AW18=""),"",AW18/AV18)</f>
        <v/>
      </c>
      <c r="AY18" s="5" t="n"/>
      <c r="AZ18" s="8" t="n">
        <v>21</v>
      </c>
      <c r="BA18" s="4" t="n">
        <v>2</v>
      </c>
      <c r="BB18" s="4" t="n">
        <v>20</v>
      </c>
      <c r="BC18" s="5">
        <f>IF(OR(BA18=0,BB18=""),"",BB18/BA18)</f>
        <v/>
      </c>
      <c r="BD18" s="5" t="n">
        <v>189.4</v>
      </c>
      <c r="BE18" s="8" t="n"/>
      <c r="BF18" s="4" t="n"/>
      <c r="BG18" s="4" t="n">
        <v>2.634</v>
      </c>
      <c r="BH18" s="5">
        <f>IF(OR(BF18=0,BG18=""),"",BG18/BF18)</f>
        <v/>
      </c>
      <c r="BI18" s="5" t="n"/>
      <c r="BJ18" s="8" t="n">
        <v>6.706</v>
      </c>
      <c r="BK18" s="4" t="n"/>
      <c r="BL18" s="4" t="n">
        <v>4.038</v>
      </c>
      <c r="BM18" s="5">
        <f>IF(OR(BK18=0,BL18=""),"",BL18/BK18)</f>
        <v/>
      </c>
      <c r="BN18" s="5" t="n"/>
      <c r="BO18" s="8" t="n">
        <v>178.862</v>
      </c>
      <c r="BP18" s="4" t="n">
        <v>7.03</v>
      </c>
      <c r="BQ18" s="4" t="n">
        <v>157.13</v>
      </c>
      <c r="BR18" s="5">
        <f>IF(OR(BP18=0,BQ18=""),"",BQ18/BP18)</f>
        <v/>
      </c>
      <c r="BS18" s="5" t="n">
        <v>649.5599999999999</v>
      </c>
    </row>
    <row r="19" ht="11.1" customHeight="1">
      <c r="A19" s="3" t="inlineStr">
        <is>
          <t>Магазин17/1 (м.Бориспіль, вул.Головатого, буд 64)</t>
        </is>
      </c>
      <c r="B19" s="4" t="n">
        <v>0.772</v>
      </c>
      <c r="C19" s="4" t="n">
        <v>0.916</v>
      </c>
      <c r="D19" s="4" t="n"/>
      <c r="E19" s="5">
        <f>IF(OR(C19=0,D19=""),"",D19/C19)</f>
        <v/>
      </c>
      <c r="F19" s="5" t="n">
        <v>228.09</v>
      </c>
      <c r="G19" s="4" t="n"/>
      <c r="H19" s="4" t="n"/>
      <c r="I19" s="4" t="n">
        <v>1.408</v>
      </c>
      <c r="J19" s="5">
        <f>IF(OR(H19=0,I19=""),"",I19/H19)</f>
        <v/>
      </c>
      <c r="K19" s="5" t="n"/>
      <c r="L19" s="4" t="n">
        <v>10</v>
      </c>
      <c r="M19" s="4" t="n"/>
      <c r="N19" s="4" t="n">
        <v>22</v>
      </c>
      <c r="O19" s="5">
        <f>IF(OR(M19=0,N19=""),"",N19/M19)</f>
        <v/>
      </c>
      <c r="P19" s="5" t="n"/>
      <c r="Q19" s="4" t="n">
        <v>36</v>
      </c>
      <c r="R19" s="4" t="n">
        <v>4</v>
      </c>
      <c r="S19" s="4" t="n">
        <v>59</v>
      </c>
      <c r="T19" s="5">
        <f>IF(OR(R19=0,S19=""),"",S19/R19)</f>
        <v/>
      </c>
      <c r="U19" s="5" t="n">
        <v>265.2</v>
      </c>
      <c r="V19" s="4" t="n">
        <v>49</v>
      </c>
      <c r="W19" s="4" t="n">
        <v>1</v>
      </c>
      <c r="X19" s="4" t="n">
        <v>11</v>
      </c>
      <c r="Y19" s="5">
        <f>IF(OR(W19=0,X19=""),"",X19/W19)</f>
        <v/>
      </c>
      <c r="Z19" s="5" t="n">
        <v>32.9</v>
      </c>
      <c r="AA19" s="4" t="n">
        <v>29</v>
      </c>
      <c r="AB19" s="4" t="n"/>
      <c r="AC19" s="4" t="n">
        <v>23</v>
      </c>
      <c r="AD19" s="5">
        <f>IF(OR(AB19=0,AC19=""),"",AC19/AB19)</f>
        <v/>
      </c>
      <c r="AE19" s="5" t="n"/>
      <c r="AF19" s="4" t="n">
        <v>15</v>
      </c>
      <c r="AG19" s="4" t="n">
        <v>7</v>
      </c>
      <c r="AH19" s="4" t="n">
        <v>9</v>
      </c>
      <c r="AI19" s="5">
        <f>IF(OR(AG19=0,AH19=""),"",AH19/AG19)</f>
        <v/>
      </c>
      <c r="AJ19" s="5" t="n">
        <v>536.2</v>
      </c>
      <c r="AK19" s="4" t="n"/>
      <c r="AL19" s="4" t="n">
        <v>4</v>
      </c>
      <c r="AM19" s="4" t="n">
        <v>18</v>
      </c>
      <c r="AN19" s="5">
        <f>IF(OR(AL19=0,AM19=""),"",AM19/AL19)</f>
        <v/>
      </c>
      <c r="AO19" s="5" t="n">
        <v>100</v>
      </c>
      <c r="AP19" s="4" t="n">
        <v>0.368</v>
      </c>
      <c r="AQ19" s="4" t="n"/>
      <c r="AR19" s="4" t="n">
        <v>3.148</v>
      </c>
      <c r="AS19" s="5">
        <f>IF(OR(AQ19=0,AR19=""),"",AR19/AQ19)</f>
        <v/>
      </c>
      <c r="AT19" s="5" t="n"/>
      <c r="AU19" s="4" t="n">
        <v>23</v>
      </c>
      <c r="AV19" s="4" t="n">
        <v>4</v>
      </c>
      <c r="AW19" s="4" t="n">
        <v>17</v>
      </c>
      <c r="AX19" s="5">
        <f>IF(OR(AV19=0,AW19=""),"",AW19/AV19)</f>
        <v/>
      </c>
      <c r="AY19" s="5" t="n">
        <v>378.8</v>
      </c>
      <c r="AZ19" s="4" t="n">
        <v>5</v>
      </c>
      <c r="BA19" s="4" t="n"/>
      <c r="BB19" s="4" t="n">
        <v>10</v>
      </c>
      <c r="BC19" s="5">
        <f>IF(OR(BA19=0,BB19=""),"",BB19/BA19)</f>
        <v/>
      </c>
      <c r="BD19" s="5" t="n"/>
      <c r="BE19" s="4" t="n">
        <v>0.49</v>
      </c>
      <c r="BF19" s="4" t="n">
        <v>0.488</v>
      </c>
      <c r="BG19" s="4" t="n">
        <v>9.246</v>
      </c>
      <c r="BH19" s="5">
        <f>IF(OR(BF19=0,BG19=""),"",BG19/BF19)</f>
        <v/>
      </c>
      <c r="BI19" s="5" t="n">
        <v>184.71</v>
      </c>
      <c r="BJ19" s="4" t="n">
        <v>18</v>
      </c>
      <c r="BK19" s="4" t="n">
        <v>0.036</v>
      </c>
      <c r="BL19" s="4" t="n">
        <v>11.538</v>
      </c>
      <c r="BM19" s="5">
        <f>IF(OR(BK19=0,BL19=""),"",BL19/BK19)</f>
        <v/>
      </c>
      <c r="BN19" s="5" t="n">
        <v>14.14</v>
      </c>
      <c r="BO19" s="4" t="n">
        <v>186.63</v>
      </c>
      <c r="BP19" s="4" t="n">
        <v>21.44</v>
      </c>
      <c r="BQ19" s="4" t="n">
        <v>194.34</v>
      </c>
      <c r="BR19" s="5">
        <f>IF(OR(BP19=0,BQ19=""),"",BQ19/BP19)</f>
        <v/>
      </c>
      <c r="BS19" s="5" t="n">
        <v>1740.04</v>
      </c>
    </row>
    <row r="20" ht="11.1" customHeight="1">
      <c r="A20" s="3" t="inlineStr">
        <is>
          <t>Магазин20 (вул.Бориспільська буд 32-А)</t>
        </is>
      </c>
      <c r="B20" s="4" t="n">
        <v>4.536</v>
      </c>
      <c r="C20" s="4" t="n">
        <v>3.298</v>
      </c>
      <c r="D20" s="4" t="n">
        <v>4.762</v>
      </c>
      <c r="E20" s="5">
        <f>IF(OR(C20=0,D20=""),"",D20/C20)</f>
        <v/>
      </c>
      <c r="F20" s="5" t="n">
        <v>821.1900000000001</v>
      </c>
      <c r="G20" s="4" t="n">
        <v>0.326</v>
      </c>
      <c r="H20" s="4" t="n">
        <v>0.6820000000000001</v>
      </c>
      <c r="I20" s="4" t="n">
        <v>3.586</v>
      </c>
      <c r="J20" s="5">
        <f>IF(OR(H20=0,I20=""),"",I20/H20)</f>
        <v/>
      </c>
      <c r="K20" s="5" t="n">
        <v>265.3</v>
      </c>
      <c r="L20" s="4" t="n">
        <v>8</v>
      </c>
      <c r="M20" s="4" t="n"/>
      <c r="N20" s="4" t="n">
        <v>26</v>
      </c>
      <c r="O20" s="5">
        <f>IF(OR(M20=0,N20=""),"",N20/M20)</f>
        <v/>
      </c>
      <c r="P20" s="5" t="n"/>
      <c r="Q20" s="4" t="n">
        <v>76</v>
      </c>
      <c r="R20" s="4" t="n"/>
      <c r="S20" s="4" t="n">
        <v>88</v>
      </c>
      <c r="T20" s="5">
        <f>IF(OR(R20=0,S20=""),"",S20/R20)</f>
        <v/>
      </c>
      <c r="U20" s="5" t="n"/>
      <c r="V20" s="4" t="n">
        <v>49</v>
      </c>
      <c r="W20" s="4" t="n"/>
      <c r="X20" s="4" t="n">
        <v>4</v>
      </c>
      <c r="Y20" s="5">
        <f>IF(OR(W20=0,X20=""),"",X20/W20)</f>
        <v/>
      </c>
      <c r="Z20" s="5" t="n"/>
      <c r="AA20" s="4" t="n">
        <v>26</v>
      </c>
      <c r="AB20" s="4" t="n"/>
      <c r="AC20" s="4" t="n">
        <v>14</v>
      </c>
      <c r="AD20" s="5">
        <f>IF(OR(AB20=0,AC20=""),"",AC20/AB20)</f>
        <v/>
      </c>
      <c r="AE20" s="5" t="n"/>
      <c r="AF20" s="4" t="n">
        <v>13</v>
      </c>
      <c r="AG20" s="4" t="n">
        <v>1</v>
      </c>
      <c r="AH20" s="4" t="n">
        <v>25</v>
      </c>
      <c r="AI20" s="5">
        <f>IF(OR(AG20=0,AH20=""),"",AH20/AG20)</f>
        <v/>
      </c>
      <c r="AJ20" s="5" t="n">
        <v>76.59999999999999</v>
      </c>
      <c r="AK20" s="4" t="n">
        <v>4</v>
      </c>
      <c r="AL20" s="4" t="n">
        <v>13</v>
      </c>
      <c r="AM20" s="4" t="n">
        <v>64</v>
      </c>
      <c r="AN20" s="5">
        <f>IF(OR(AL20=0,AM20=""),"",AM20/AL20)</f>
        <v/>
      </c>
      <c r="AO20" s="5" t="n">
        <v>325</v>
      </c>
      <c r="AP20" s="4" t="n"/>
      <c r="AQ20" s="4" t="n"/>
      <c r="AR20" s="4" t="n">
        <v>8.988</v>
      </c>
      <c r="AS20" s="5">
        <f>IF(OR(AQ20=0,AR20=""),"",AR20/AQ20)</f>
        <v/>
      </c>
      <c r="AT20" s="5" t="n"/>
      <c r="AU20" s="4" t="n">
        <v>33</v>
      </c>
      <c r="AV20" s="4" t="n">
        <v>2</v>
      </c>
      <c r="AW20" s="4" t="n">
        <v>17</v>
      </c>
      <c r="AX20" s="5">
        <f>IF(OR(AV20=0,AW20=""),"",AW20/AV20)</f>
        <v/>
      </c>
      <c r="AY20" s="5" t="n">
        <v>189.4</v>
      </c>
      <c r="AZ20" s="4" t="n">
        <v>4</v>
      </c>
      <c r="BA20" s="4" t="n">
        <v>1</v>
      </c>
      <c r="BB20" s="4" t="n">
        <v>16</v>
      </c>
      <c r="BC20" s="5">
        <f>IF(OR(BA20=0,BB20=""),"",BB20/BA20)</f>
        <v/>
      </c>
      <c r="BD20" s="5" t="n">
        <v>94.7</v>
      </c>
      <c r="BE20" s="4" t="n"/>
      <c r="BF20" s="4" t="n">
        <v>6.474</v>
      </c>
      <c r="BG20" s="4" t="n">
        <v>19.352</v>
      </c>
      <c r="BH20" s="5">
        <f>IF(OR(BF20=0,BG20=""),"",BG20/BF20)</f>
        <v/>
      </c>
      <c r="BI20" s="5" t="n">
        <v>2450.42</v>
      </c>
      <c r="BJ20" s="4" t="n">
        <v>9.084</v>
      </c>
      <c r="BK20" s="4" t="n">
        <v>0.246</v>
      </c>
      <c r="BL20" s="4" t="n">
        <v>10.278</v>
      </c>
      <c r="BM20" s="5">
        <f>IF(OR(BK20=0,BL20=""),"",BL20/BK20)</f>
        <v/>
      </c>
      <c r="BN20" s="5" t="n">
        <v>96.63</v>
      </c>
      <c r="BO20" s="4" t="n">
        <v>226.946</v>
      </c>
      <c r="BP20" s="4" t="n">
        <v>27.7</v>
      </c>
      <c r="BQ20" s="4" t="n">
        <v>300.97</v>
      </c>
      <c r="BR20" s="5">
        <f>IF(OR(BP20=0,BQ20=""),"",BQ20/BP20)</f>
        <v/>
      </c>
      <c r="BS20" s="5" t="n">
        <v>4319.24</v>
      </c>
    </row>
    <row r="21" ht="11.1" customHeight="1">
      <c r="A21" s="3" t="inlineStr">
        <is>
          <t>Магазин21 (м.Ірпінь, вул Матвія Донцова,буд 50б)</t>
        </is>
      </c>
      <c r="B21" s="6" t="n"/>
      <c r="C21" s="6" t="n"/>
      <c r="D21" s="4" t="n">
        <v>1.936</v>
      </c>
      <c r="E21" s="5">
        <f>IF(OR(C21=0,D21=""),"",D21/C21)</f>
        <v/>
      </c>
      <c r="F21" s="6" t="n"/>
      <c r="G21" s="6" t="n"/>
      <c r="H21" s="6" t="n"/>
      <c r="I21" s="4" t="n">
        <v>1.828</v>
      </c>
      <c r="J21" s="5">
        <f>IF(OR(H21=0,I21=""),"",I21/H21)</f>
        <v/>
      </c>
      <c r="K21" s="6" t="n"/>
      <c r="L21" s="6" t="n">
        <v>10</v>
      </c>
      <c r="M21" s="6" t="n">
        <v>3</v>
      </c>
      <c r="N21" s="4" t="n">
        <v>10</v>
      </c>
      <c r="O21" s="5">
        <f>IF(OR(M21=0,N21=""),"",N21/M21)</f>
        <v/>
      </c>
      <c r="P21" s="6" t="n">
        <v>317.1</v>
      </c>
      <c r="Q21" s="6" t="n">
        <v>68</v>
      </c>
      <c r="R21" s="6" t="n">
        <v>3</v>
      </c>
      <c r="S21" s="4" t="n">
        <v>80</v>
      </c>
      <c r="T21" s="5">
        <f>IF(OR(R21=0,S21=""),"",S21/R21)</f>
        <v/>
      </c>
      <c r="U21" s="6" t="n">
        <v>198.9</v>
      </c>
      <c r="V21" s="6" t="n">
        <v>104</v>
      </c>
      <c r="W21" s="6" t="n">
        <v>1</v>
      </c>
      <c r="X21" s="4" t="n">
        <v>21</v>
      </c>
      <c r="Y21" s="5">
        <f>IF(OR(W21=0,X21=""),"",X21/W21)</f>
        <v/>
      </c>
      <c r="Z21" s="6" t="n">
        <v>32.9</v>
      </c>
      <c r="AA21" s="6" t="n">
        <v>31</v>
      </c>
      <c r="AB21" s="6" t="n">
        <v>1</v>
      </c>
      <c r="AC21" s="4" t="n">
        <v>30</v>
      </c>
      <c r="AD21" s="5">
        <f>IF(OR(AB21=0,AC21=""),"",AC21/AB21)</f>
        <v/>
      </c>
      <c r="AE21" s="6" t="n">
        <v>94.7</v>
      </c>
      <c r="AF21" s="6" t="n">
        <v>23</v>
      </c>
      <c r="AG21" s="6" t="n">
        <v>1</v>
      </c>
      <c r="AH21" s="4" t="n">
        <v>16</v>
      </c>
      <c r="AI21" s="5">
        <f>IF(OR(AG21=0,AH21=""),"",AH21/AG21)</f>
        <v/>
      </c>
      <c r="AJ21" s="6" t="n">
        <v>76.59999999999999</v>
      </c>
      <c r="AK21" s="6" t="n"/>
      <c r="AL21" s="6" t="n">
        <v>4</v>
      </c>
      <c r="AM21" s="4" t="n">
        <v>32</v>
      </c>
      <c r="AN21" s="5">
        <f>IF(OR(AL21=0,AM21=""),"",AM21/AL21)</f>
        <v/>
      </c>
      <c r="AO21" s="6" t="n">
        <v>100</v>
      </c>
      <c r="AP21" s="6" t="n"/>
      <c r="AQ21" s="6" t="n"/>
      <c r="AR21" s="4" t="n">
        <v>2.01</v>
      </c>
      <c r="AS21" s="5">
        <f>IF(OR(AQ21=0,AR21=""),"",AR21/AQ21)</f>
        <v/>
      </c>
      <c r="AT21" s="6" t="n"/>
      <c r="AU21" s="6" t="n">
        <v>39</v>
      </c>
      <c r="AV21" s="6" t="n">
        <v>4</v>
      </c>
      <c r="AW21" s="4" t="n">
        <v>32</v>
      </c>
      <c r="AX21" s="5">
        <f>IF(OR(AV21=0,AW21=""),"",AW21/AV21)</f>
        <v/>
      </c>
      <c r="AY21" s="6" t="n">
        <v>378.8</v>
      </c>
      <c r="AZ21" s="6" t="n">
        <v>40</v>
      </c>
      <c r="BA21" s="6" t="n"/>
      <c r="BB21" s="4" t="n">
        <v>21</v>
      </c>
      <c r="BC21" s="5">
        <f>IF(OR(BA21=0,BB21=""),"",BB21/BA21)</f>
        <v/>
      </c>
      <c r="BD21" s="6" t="n"/>
      <c r="BE21" s="6" t="n">
        <v>0.002</v>
      </c>
      <c r="BF21" s="6" t="n">
        <v>2.032</v>
      </c>
      <c r="BG21" s="4" t="n">
        <v>5.636</v>
      </c>
      <c r="BH21" s="5">
        <f>IF(OR(BF21=0,BG21=""),"",BG21/BF21)</f>
        <v/>
      </c>
      <c r="BI21" s="6" t="n">
        <v>769.12</v>
      </c>
      <c r="BJ21" s="6" t="n">
        <v>26.026</v>
      </c>
      <c r="BK21" s="6" t="n">
        <v>0.54</v>
      </c>
      <c r="BL21" s="4" t="n">
        <v>12.494</v>
      </c>
      <c r="BM21" s="5">
        <f>IF(OR(BK21=0,BL21=""),"",BL21/BK21)</f>
        <v/>
      </c>
      <c r="BN21" s="6" t="n">
        <v>212.11</v>
      </c>
      <c r="BO21" s="6" t="n">
        <v>341.028</v>
      </c>
      <c r="BP21" s="6" t="n">
        <v>19.57</v>
      </c>
      <c r="BQ21" s="4" t="n">
        <v>265.9</v>
      </c>
      <c r="BR21" s="5">
        <f>IF(OR(BP21=0,BQ21=""),"",BQ21/BP21)</f>
        <v/>
      </c>
      <c r="BS21" s="6" t="n">
        <v>2180.23</v>
      </c>
    </row>
    <row r="22" ht="11.1" customHeight="1">
      <c r="A22" s="3" t="inlineStr">
        <is>
          <t>Магазин22 (вул.Вітряні гори, буд.21/7(літера А)</t>
        </is>
      </c>
      <c r="B22" s="6" t="n"/>
      <c r="C22" s="6" t="n"/>
      <c r="D22" s="4" t="n">
        <v>3.07</v>
      </c>
      <c r="E22" s="5">
        <f>IF(OR(C22=0,D22=""),"",D22/C22)</f>
        <v/>
      </c>
      <c r="F22" s="6" t="n"/>
      <c r="G22" s="6" t="n"/>
      <c r="H22" s="6" t="n">
        <v>3.16</v>
      </c>
      <c r="I22" s="4" t="n">
        <v>6.882</v>
      </c>
      <c r="J22" s="5">
        <f>IF(OR(H22=0,I22=""),"",I22/H22)</f>
        <v/>
      </c>
      <c r="K22" s="6" t="n">
        <v>1229.26</v>
      </c>
      <c r="L22" s="6" t="n">
        <v>9</v>
      </c>
      <c r="M22" s="6" t="n"/>
      <c r="N22" s="4" t="n">
        <v>31</v>
      </c>
      <c r="O22" s="5">
        <f>IF(OR(M22=0,N22=""),"",N22/M22)</f>
        <v/>
      </c>
      <c r="P22" s="6" t="n"/>
      <c r="Q22" s="6" t="n">
        <v>96</v>
      </c>
      <c r="R22" s="6" t="n">
        <v>3</v>
      </c>
      <c r="S22" s="4" t="n">
        <v>108</v>
      </c>
      <c r="T22" s="5">
        <f>IF(OR(R22=0,S22=""),"",S22/R22)</f>
        <v/>
      </c>
      <c r="U22" s="6" t="n">
        <v>198.9</v>
      </c>
      <c r="V22" s="6" t="n">
        <v>75</v>
      </c>
      <c r="W22" s="6" t="n">
        <v>3</v>
      </c>
      <c r="X22" s="4" t="n">
        <v>15</v>
      </c>
      <c r="Y22" s="5">
        <f>IF(OR(W22=0,X22=""),"",X22/W22)</f>
        <v/>
      </c>
      <c r="Z22" s="6" t="n">
        <v>98.7</v>
      </c>
      <c r="AA22" s="6" t="n">
        <v>31</v>
      </c>
      <c r="AB22" s="6" t="n">
        <v>2</v>
      </c>
      <c r="AC22" s="4" t="n">
        <v>21</v>
      </c>
      <c r="AD22" s="5">
        <f>IF(OR(AB22=0,AC22=""),"",AC22/AB22)</f>
        <v/>
      </c>
      <c r="AE22" s="6" t="n">
        <v>189.4</v>
      </c>
      <c r="AF22" s="6" t="n">
        <v>12</v>
      </c>
      <c r="AG22" s="6" t="n">
        <v>8</v>
      </c>
      <c r="AH22" s="4" t="n">
        <v>10</v>
      </c>
      <c r="AI22" s="5">
        <f>IF(OR(AG22=0,AH22=""),"",AH22/AG22)</f>
        <v/>
      </c>
      <c r="AJ22" s="6" t="n">
        <v>612.8</v>
      </c>
      <c r="AK22" s="6" t="n"/>
      <c r="AL22" s="6" t="n"/>
      <c r="AM22" s="4" t="n">
        <v>73</v>
      </c>
      <c r="AN22" s="5">
        <f>IF(OR(AL22=0,AM22=""),"",AM22/AL22)</f>
        <v/>
      </c>
      <c r="AO22" s="6" t="n"/>
      <c r="AP22" s="6" t="n"/>
      <c r="AQ22" s="6" t="n"/>
      <c r="AR22" s="4" t="n">
        <v>6.692</v>
      </c>
      <c r="AS22" s="5">
        <f>IF(OR(AQ22=0,AR22=""),"",AR22/AQ22)</f>
        <v/>
      </c>
      <c r="AT22" s="6" t="n"/>
      <c r="AU22" s="6" t="n">
        <v>34</v>
      </c>
      <c r="AV22" s="6" t="n">
        <v>1</v>
      </c>
      <c r="AW22" s="4" t="n">
        <v>23</v>
      </c>
      <c r="AX22" s="5">
        <f>IF(OR(AV22=0,AW22=""),"",AW22/AV22)</f>
        <v/>
      </c>
      <c r="AY22" s="6" t="n">
        <v>94.7</v>
      </c>
      <c r="AZ22" s="6" t="n">
        <v>40</v>
      </c>
      <c r="BA22" s="6" t="n"/>
      <c r="BB22" s="4" t="n">
        <v>40</v>
      </c>
      <c r="BC22" s="5">
        <f>IF(OR(BA22=0,BB22=""),"",BB22/BA22)</f>
        <v/>
      </c>
      <c r="BD22" s="6" t="n"/>
      <c r="BE22" s="6" t="n">
        <v>0.002</v>
      </c>
      <c r="BF22" s="6" t="n">
        <v>2.41</v>
      </c>
      <c r="BG22" s="4" t="n">
        <v>9.868</v>
      </c>
      <c r="BH22" s="5">
        <f>IF(OR(BF22=0,BG22=""),"",BG22/BF22)</f>
        <v/>
      </c>
      <c r="BI22" s="6" t="n">
        <v>912.1900000000001</v>
      </c>
      <c r="BJ22" s="6" t="n">
        <v>14.178</v>
      </c>
      <c r="BK22" s="6" t="n">
        <v>0.106</v>
      </c>
      <c r="BL22" s="4" t="n">
        <v>0.57</v>
      </c>
      <c r="BM22" s="5">
        <f>IF(OR(BK22=0,BL22=""),"",BL22/BK22)</f>
        <v/>
      </c>
      <c r="BN22" s="6" t="n">
        <v>41.64</v>
      </c>
      <c r="BO22" s="6" t="n">
        <v>311.18</v>
      </c>
      <c r="BP22" s="6" t="n">
        <v>22.68</v>
      </c>
      <c r="BQ22" s="4" t="n">
        <v>348.08</v>
      </c>
      <c r="BR22" s="5">
        <f>IF(OR(BP22=0,BQ22=""),"",BQ22/BP22)</f>
        <v/>
      </c>
      <c r="BS22" s="6" t="n">
        <v>3377.59</v>
      </c>
    </row>
    <row r="23" ht="11.1" customHeight="1">
      <c r="A23" s="3" t="inlineStr">
        <is>
          <t>Магазин23 (бул.В.Гавела 18)</t>
        </is>
      </c>
      <c r="B23" s="8" t="n"/>
      <c r="C23" s="4" t="n">
        <v>19.266</v>
      </c>
      <c r="D23" s="4" t="n">
        <v>33.954</v>
      </c>
      <c r="E23" s="5">
        <f>IF(OR(C23=0,D23=""),"",D23/C23)</f>
        <v/>
      </c>
      <c r="F23" s="9" t="n">
        <v>4797.23</v>
      </c>
      <c r="G23" s="8" t="n">
        <v>1.452</v>
      </c>
      <c r="H23" s="4" t="n">
        <v>1.462</v>
      </c>
      <c r="I23" s="4" t="n">
        <v>4.442</v>
      </c>
      <c r="J23" s="5">
        <f>IF(OR(H23=0,I23=""),"",I23/H23)</f>
        <v/>
      </c>
      <c r="K23" s="9" t="n">
        <v>568.72</v>
      </c>
      <c r="L23" s="8" t="n">
        <v>7</v>
      </c>
      <c r="M23" s="4" t="n">
        <v>2</v>
      </c>
      <c r="N23" s="4" t="n">
        <v>7</v>
      </c>
      <c r="O23" s="5">
        <f>IF(OR(M23=0,N23=""),"",N23/M23)</f>
        <v/>
      </c>
      <c r="P23" s="9" t="n">
        <v>211.4</v>
      </c>
      <c r="Q23" s="8" t="n">
        <v>191</v>
      </c>
      <c r="R23" s="4" t="n">
        <v>1</v>
      </c>
      <c r="S23" s="4" t="n">
        <v>457</v>
      </c>
      <c r="T23" s="5">
        <f>IF(OR(R23=0,S23=""),"",S23/R23)</f>
        <v/>
      </c>
      <c r="U23" s="9" t="n">
        <v>62.99</v>
      </c>
      <c r="V23" s="8" t="n">
        <v>86</v>
      </c>
      <c r="W23" s="4" t="n">
        <v>6</v>
      </c>
      <c r="X23" s="4" t="n">
        <v>61</v>
      </c>
      <c r="Y23" s="5">
        <f>IF(OR(W23=0,X23=""),"",X23/W23)</f>
        <v/>
      </c>
      <c r="Z23" s="9" t="n">
        <v>197.4</v>
      </c>
      <c r="AA23" s="8" t="n">
        <v>43</v>
      </c>
      <c r="AB23" s="4" t="n">
        <v>2</v>
      </c>
      <c r="AC23" s="4" t="n">
        <v>40</v>
      </c>
      <c r="AD23" s="5">
        <f>IF(OR(AB23=0,AC23=""),"",AC23/AB23)</f>
        <v/>
      </c>
      <c r="AE23" s="9" t="n">
        <v>189.4</v>
      </c>
      <c r="AF23" s="8" t="n">
        <v>144</v>
      </c>
      <c r="AG23" s="4" t="n">
        <v>2</v>
      </c>
      <c r="AH23" s="4" t="n">
        <v>126</v>
      </c>
      <c r="AI23" s="5">
        <f>IF(OR(AG23=0,AH23=""),"",AH23/AG23)</f>
        <v/>
      </c>
      <c r="AJ23" s="9" t="n">
        <v>153.2</v>
      </c>
      <c r="AK23" s="8" t="n"/>
      <c r="AL23" s="4" t="n">
        <v>18</v>
      </c>
      <c r="AM23" s="4" t="n">
        <v>348</v>
      </c>
      <c r="AN23" s="5">
        <f>IF(OR(AL23=0,AM23=""),"",AM23/AL23)</f>
        <v/>
      </c>
      <c r="AO23" s="9" t="n">
        <v>450</v>
      </c>
      <c r="AP23" s="8" t="n"/>
      <c r="AQ23" s="4" t="n">
        <v>1.026</v>
      </c>
      <c r="AR23" s="4" t="n">
        <v>28.082</v>
      </c>
      <c r="AS23" s="5">
        <f>IF(OR(AQ23=0,AR23=""),"",AR23/AQ23)</f>
        <v/>
      </c>
      <c r="AT23" s="9" t="n">
        <v>306.77</v>
      </c>
      <c r="AU23" s="8" t="n">
        <v>67</v>
      </c>
      <c r="AV23" s="4" t="n">
        <v>4</v>
      </c>
      <c r="AW23" s="4" t="n">
        <v>65</v>
      </c>
      <c r="AX23" s="5">
        <f>IF(OR(AV23=0,AW23=""),"",AW23/AV23)</f>
        <v/>
      </c>
      <c r="AY23" s="9" t="n">
        <v>378.8</v>
      </c>
      <c r="AZ23" s="8" t="n">
        <v>54</v>
      </c>
      <c r="BA23" s="4" t="n">
        <v>10</v>
      </c>
      <c r="BB23" s="4" t="n">
        <v>54</v>
      </c>
      <c r="BC23" s="5">
        <f>IF(OR(BA23=0,BB23=""),"",BB23/BA23)</f>
        <v/>
      </c>
      <c r="BD23" s="9" t="n">
        <v>947</v>
      </c>
      <c r="BE23" s="8" t="n"/>
      <c r="BF23" s="4" t="n">
        <v>17.826</v>
      </c>
      <c r="BG23" s="4" t="n">
        <v>70.27</v>
      </c>
      <c r="BH23" s="5">
        <f>IF(OR(BF23=0,BG23=""),"",BG23/BF23)</f>
        <v/>
      </c>
      <c r="BI23" s="9" t="n">
        <v>6725.14</v>
      </c>
      <c r="BJ23" s="8" t="n">
        <v>113.238</v>
      </c>
      <c r="BK23" s="4" t="n">
        <v>0.43</v>
      </c>
      <c r="BL23" s="4" t="n">
        <v>73.416</v>
      </c>
      <c r="BM23" s="5">
        <f>IF(OR(BK23=0,BL23=""),"",BL23/BK23)</f>
        <v/>
      </c>
      <c r="BN23" s="9" t="n">
        <v>168.9</v>
      </c>
      <c r="BO23" s="8" t="n">
        <v>706.6900000000001</v>
      </c>
      <c r="BP23" s="4" t="n">
        <v>85.01000000000001</v>
      </c>
      <c r="BQ23" s="4" t="n">
        <v>1368.16</v>
      </c>
      <c r="BR23" s="5">
        <f>IF(OR(BP23=0,BQ23=""),"",BQ23/BP23)</f>
        <v/>
      </c>
      <c r="BS23" s="9" t="n">
        <v>15156.95</v>
      </c>
    </row>
    <row r="24" ht="11.1" customHeight="1">
      <c r="A24" s="3" t="inlineStr">
        <is>
          <t>Магазин24/1 (смт.Глеваха, вул.Ботанічна, буд.34)</t>
        </is>
      </c>
      <c r="B24" s="4" t="n">
        <v>0.222</v>
      </c>
      <c r="C24" s="4" t="n">
        <v>1.844</v>
      </c>
      <c r="D24" s="4" t="n">
        <v>1.028</v>
      </c>
      <c r="E24" s="5">
        <f>IF(OR(C24=0,D24=""),"",D24/C24)</f>
        <v/>
      </c>
      <c r="F24" s="5" t="n">
        <v>459.16</v>
      </c>
      <c r="G24" s="4" t="n"/>
      <c r="H24" s="4" t="n"/>
      <c r="I24" s="4" t="n"/>
      <c r="J24" s="5">
        <f>IF(OR(H24=0,I24=""),"",I24/H24)</f>
        <v/>
      </c>
      <c r="K24" s="5" t="n"/>
      <c r="L24" s="4" t="n">
        <v>8</v>
      </c>
      <c r="M24" s="4" t="n"/>
      <c r="N24" s="4" t="n">
        <v>28</v>
      </c>
      <c r="O24" s="5">
        <f>IF(OR(M24=0,N24=""),"",N24/M24)</f>
        <v/>
      </c>
      <c r="P24" s="5" t="n"/>
      <c r="Q24" s="4" t="n">
        <v>230</v>
      </c>
      <c r="R24" s="4" t="n">
        <v>23</v>
      </c>
      <c r="S24" s="4" t="n">
        <v>230</v>
      </c>
      <c r="T24" s="5">
        <f>IF(OR(R24=0,S24=""),"",S24/R24)</f>
        <v/>
      </c>
      <c r="U24" s="5" t="n">
        <v>1524.9</v>
      </c>
      <c r="V24" s="4" t="n">
        <v>120</v>
      </c>
      <c r="W24" s="4" t="n">
        <v>7</v>
      </c>
      <c r="X24" s="4" t="n">
        <v>28</v>
      </c>
      <c r="Y24" s="5">
        <f>IF(OR(W24=0,X24=""),"",X24/W24)</f>
        <v/>
      </c>
      <c r="Z24" s="5" t="n">
        <v>230.3</v>
      </c>
      <c r="AA24" s="4" t="n">
        <v>8</v>
      </c>
      <c r="AB24" s="4" t="n"/>
      <c r="AC24" s="4" t="n">
        <v>4</v>
      </c>
      <c r="AD24" s="5">
        <f>IF(OR(AB24=0,AC24=""),"",AC24/AB24)</f>
        <v/>
      </c>
      <c r="AE24" s="5" t="n"/>
      <c r="AF24" s="4" t="n">
        <v>15</v>
      </c>
      <c r="AG24" s="4" t="n">
        <v>11</v>
      </c>
      <c r="AH24" s="4" t="n">
        <v>39</v>
      </c>
      <c r="AI24" s="5">
        <f>IF(OR(AG24=0,AH24=""),"",AH24/AG24)</f>
        <v/>
      </c>
      <c r="AJ24" s="5" t="n">
        <v>842.6</v>
      </c>
      <c r="AK24" s="4" t="n"/>
      <c r="AL24" s="4" t="n"/>
      <c r="AM24" s="4" t="n">
        <v>31</v>
      </c>
      <c r="AN24" s="5">
        <f>IF(OR(AL24=0,AM24=""),"",AM24/AL24)</f>
        <v/>
      </c>
      <c r="AO24" s="5" t="n"/>
      <c r="AP24" s="4" t="n"/>
      <c r="AQ24" s="4" t="n"/>
      <c r="AR24" s="4" t="n">
        <v>1.984</v>
      </c>
      <c r="AS24" s="5">
        <f>IF(OR(AQ24=0,AR24=""),"",AR24/AQ24)</f>
        <v/>
      </c>
      <c r="AT24" s="5" t="n"/>
      <c r="AU24" s="4" t="n">
        <v>7</v>
      </c>
      <c r="AV24" s="4" t="n">
        <v>2</v>
      </c>
      <c r="AW24" s="4" t="n">
        <v>19</v>
      </c>
      <c r="AX24" s="5">
        <f>IF(OR(AV24=0,AW24=""),"",AW24/AV24)</f>
        <v/>
      </c>
      <c r="AY24" s="5" t="n">
        <v>189.4</v>
      </c>
      <c r="AZ24" s="4" t="n">
        <v>5</v>
      </c>
      <c r="BA24" s="4" t="n">
        <v>6</v>
      </c>
      <c r="BB24" s="4" t="n">
        <v>26</v>
      </c>
      <c r="BC24" s="5">
        <f>IF(OR(BA24=0,BB24=""),"",BB24/BA24)</f>
        <v/>
      </c>
      <c r="BD24" s="5" t="n">
        <v>568.2</v>
      </c>
      <c r="BE24" s="4" t="n">
        <v>0.006</v>
      </c>
      <c r="BF24" s="4" t="n">
        <v>1.672</v>
      </c>
      <c r="BG24" s="4" t="n">
        <v>6.478</v>
      </c>
      <c r="BH24" s="5">
        <f>IF(OR(BF24=0,BG24=""),"",BG24/BF24)</f>
        <v/>
      </c>
      <c r="BI24" s="5" t="n">
        <v>632.85</v>
      </c>
      <c r="BJ24" s="4" t="n">
        <v>30.905</v>
      </c>
      <c r="BK24" s="4" t="n">
        <v>0.352</v>
      </c>
      <c r="BL24" s="4" t="n">
        <v>21.48</v>
      </c>
      <c r="BM24" s="5">
        <f>IF(OR(BK24=0,BL24=""),"",BL24/BK24)</f>
        <v/>
      </c>
      <c r="BN24" s="5" t="n">
        <v>138.26</v>
      </c>
      <c r="BO24" s="4" t="n">
        <v>424.133</v>
      </c>
      <c r="BP24" s="4" t="n">
        <v>52.87</v>
      </c>
      <c r="BQ24" s="4" t="n">
        <v>435.97</v>
      </c>
      <c r="BR24" s="5">
        <f>IF(OR(BP24=0,BQ24=""),"",BQ24/BP24)</f>
        <v/>
      </c>
      <c r="BS24" s="5" t="n">
        <v>4585.67</v>
      </c>
    </row>
    <row r="25" ht="11.1" customHeight="1">
      <c r="A25" s="3" t="inlineStr">
        <is>
          <t>Магазин25 (с.Софіївська Борщагівка,вул.Чубинського, 8-В)</t>
        </is>
      </c>
      <c r="B25" s="4" t="n">
        <v>1.968</v>
      </c>
      <c r="C25" s="4" t="n">
        <v>1.582</v>
      </c>
      <c r="D25" s="4" t="n">
        <v>1.204</v>
      </c>
      <c r="E25" s="5">
        <f>IF(OR(C25=0,D25=""),"",D25/C25)</f>
        <v/>
      </c>
      <c r="F25" s="5" t="n">
        <v>393.92</v>
      </c>
      <c r="G25" s="4" t="n">
        <v>0.338</v>
      </c>
      <c r="H25" s="4" t="n">
        <v>3.238</v>
      </c>
      <c r="I25" s="4" t="n">
        <v>1.792</v>
      </c>
      <c r="J25" s="5">
        <f>IF(OR(H25=0,I25=""),"",I25/H25)</f>
        <v/>
      </c>
      <c r="K25" s="5" t="n">
        <v>1259.59</v>
      </c>
      <c r="L25" s="4" t="n">
        <v>10</v>
      </c>
      <c r="M25" s="4" t="n">
        <v>1</v>
      </c>
      <c r="N25" s="4" t="n">
        <v>10</v>
      </c>
      <c r="O25" s="5">
        <f>IF(OR(M25=0,N25=""),"",N25/M25)</f>
        <v/>
      </c>
      <c r="P25" s="5" t="n">
        <v>105.7</v>
      </c>
      <c r="Q25" s="4" t="n">
        <v>188</v>
      </c>
      <c r="R25" s="4" t="n"/>
      <c r="S25" s="4" t="n">
        <v>236</v>
      </c>
      <c r="T25" s="5">
        <f>IF(OR(R25=0,S25=""),"",S25/R25)</f>
        <v/>
      </c>
      <c r="U25" s="5" t="n"/>
      <c r="V25" s="4" t="n">
        <v>95</v>
      </c>
      <c r="W25" s="4" t="n"/>
      <c r="X25" s="4" t="n">
        <v>32</v>
      </c>
      <c r="Y25" s="5">
        <f>IF(OR(W25=0,X25=""),"",X25/W25)</f>
        <v/>
      </c>
      <c r="Z25" s="5" t="n"/>
      <c r="AA25" s="4" t="n">
        <v>30</v>
      </c>
      <c r="AB25" s="4" t="n">
        <v>2</v>
      </c>
      <c r="AC25" s="4" t="n">
        <v>30</v>
      </c>
      <c r="AD25" s="5">
        <f>IF(OR(AB25=0,AC25=""),"",AC25/AB25)</f>
        <v/>
      </c>
      <c r="AE25" s="5" t="n">
        <v>189.4</v>
      </c>
      <c r="AF25" s="4" t="n">
        <v>16</v>
      </c>
      <c r="AG25" s="4" t="n">
        <v>8</v>
      </c>
      <c r="AH25" s="4" t="n">
        <v>16</v>
      </c>
      <c r="AI25" s="5">
        <f>IF(OR(AG25=0,AH25=""),"",AH25/AG25)</f>
        <v/>
      </c>
      <c r="AJ25" s="5" t="n">
        <v>612.8</v>
      </c>
      <c r="AK25" s="4" t="n"/>
      <c r="AL25" s="4" t="n"/>
      <c r="AM25" s="4" t="n">
        <v>20</v>
      </c>
      <c r="AN25" s="5">
        <f>IF(OR(AL25=0,AM25=""),"",AM25/AL25)</f>
        <v/>
      </c>
      <c r="AO25" s="5" t="n"/>
      <c r="AP25" s="4" t="n"/>
      <c r="AQ25" s="4" t="n"/>
      <c r="AR25" s="4" t="n">
        <v>1.998</v>
      </c>
      <c r="AS25" s="5">
        <f>IF(OR(AQ25=0,AR25=""),"",AR25/AQ25)</f>
        <v/>
      </c>
      <c r="AT25" s="5" t="n"/>
      <c r="AU25" s="4" t="n">
        <v>35</v>
      </c>
      <c r="AV25" s="4" t="n">
        <v>3</v>
      </c>
      <c r="AW25" s="4" t="n">
        <v>29</v>
      </c>
      <c r="AX25" s="5">
        <f>IF(OR(AV25=0,AW25=""),"",AW25/AV25)</f>
        <v/>
      </c>
      <c r="AY25" s="5" t="n">
        <v>284.1</v>
      </c>
      <c r="AZ25" s="4" t="n">
        <v>43</v>
      </c>
      <c r="BA25" s="4" t="n">
        <v>5</v>
      </c>
      <c r="BB25" s="4" t="n">
        <v>34</v>
      </c>
      <c r="BC25" s="5">
        <f>IF(OR(BA25=0,BB25=""),"",BB25/BA25)</f>
        <v/>
      </c>
      <c r="BD25" s="5" t="n">
        <v>473.5</v>
      </c>
      <c r="BE25" s="4" t="n">
        <v>0.004</v>
      </c>
      <c r="BF25" s="4" t="n">
        <v>4.212</v>
      </c>
      <c r="BG25" s="4" t="n">
        <v>10.556</v>
      </c>
      <c r="BH25" s="5">
        <f>IF(OR(BF25=0,BG25=""),"",BG25/BF25)</f>
        <v/>
      </c>
      <c r="BI25" s="5" t="n">
        <v>1594.25</v>
      </c>
      <c r="BJ25" s="4" t="n">
        <v>37.986</v>
      </c>
      <c r="BK25" s="4" t="n">
        <v>0.532</v>
      </c>
      <c r="BL25" s="4" t="n">
        <v>13.314</v>
      </c>
      <c r="BM25" s="5">
        <f>IF(OR(BK25=0,BL25=""),"",BL25/BK25)</f>
        <v/>
      </c>
      <c r="BN25" s="5" t="n">
        <v>208.97</v>
      </c>
      <c r="BO25" s="4" t="n">
        <v>457.296</v>
      </c>
      <c r="BP25" s="4" t="n">
        <v>28.56</v>
      </c>
      <c r="BQ25" s="4" t="n">
        <v>435.86</v>
      </c>
      <c r="BR25" s="5">
        <f>IF(OR(BP25=0,BQ25=""),"",BQ25/BP25)</f>
        <v/>
      </c>
      <c r="BS25" s="5" t="n">
        <v>5122.23</v>
      </c>
    </row>
    <row r="26" ht="11.1" customHeight="1">
      <c r="A26" s="3" t="inlineStr">
        <is>
          <t>Магазин26 (вул.Данченка Сергія,буд.30.прим.279)</t>
        </is>
      </c>
      <c r="B26" s="10" t="n">
        <v>0.6</v>
      </c>
      <c r="C26" s="4" t="n">
        <v>0.554</v>
      </c>
      <c r="D26" s="4" t="n">
        <v>1.248</v>
      </c>
      <c r="E26" s="5">
        <f>IF(OR(C26=0,D26=""),"",D26/C26)</f>
        <v/>
      </c>
      <c r="F26" s="5" t="n">
        <v>137.95</v>
      </c>
      <c r="G26" s="10" t="n"/>
      <c r="H26" s="4" t="n"/>
      <c r="I26" s="4" t="n"/>
      <c r="J26" s="5">
        <f>IF(OR(H26=0,I26=""),"",I26/H26)</f>
        <v/>
      </c>
      <c r="K26" s="5" t="n"/>
      <c r="L26" s="10" t="n">
        <v>20</v>
      </c>
      <c r="M26" s="4" t="n">
        <v>1</v>
      </c>
      <c r="N26" s="4" t="n">
        <v>14</v>
      </c>
      <c r="O26" s="5">
        <f>IF(OR(M26=0,N26=""),"",N26/M26)</f>
        <v/>
      </c>
      <c r="P26" s="5" t="n">
        <v>105.7</v>
      </c>
      <c r="Q26" s="10" t="n">
        <v>79</v>
      </c>
      <c r="R26" s="4" t="n">
        <v>3</v>
      </c>
      <c r="S26" s="4" t="n">
        <v>90</v>
      </c>
      <c r="T26" s="5">
        <f>IF(OR(R26=0,S26=""),"",S26/R26)</f>
        <v/>
      </c>
      <c r="U26" s="5" t="n">
        <v>198.9</v>
      </c>
      <c r="V26" s="10" t="n">
        <v>62</v>
      </c>
      <c r="W26" s="4" t="n">
        <v>4</v>
      </c>
      <c r="X26" s="4" t="n">
        <v>10</v>
      </c>
      <c r="Y26" s="5">
        <f>IF(OR(W26=0,X26=""),"",X26/W26)</f>
        <v/>
      </c>
      <c r="Z26" s="5" t="n">
        <v>131.6</v>
      </c>
      <c r="AA26" s="10" t="n">
        <v>20</v>
      </c>
      <c r="AB26" s="4" t="n">
        <v>3</v>
      </c>
      <c r="AC26" s="4" t="n">
        <v>10</v>
      </c>
      <c r="AD26" s="5">
        <f>IF(OR(AB26=0,AC26=""),"",AC26/AB26)</f>
        <v/>
      </c>
      <c r="AE26" s="5" t="n">
        <v>284.1</v>
      </c>
      <c r="AF26" s="10" t="n">
        <v>20</v>
      </c>
      <c r="AG26" s="4" t="n">
        <v>4</v>
      </c>
      <c r="AH26" s="4" t="n">
        <v>11</v>
      </c>
      <c r="AI26" s="5">
        <f>IF(OR(AG26=0,AH26=""),"",AH26/AG26)</f>
        <v/>
      </c>
      <c r="AJ26" s="5" t="n">
        <v>306.4</v>
      </c>
      <c r="AK26" s="10" t="n"/>
      <c r="AL26" s="4" t="n"/>
      <c r="AM26" s="4" t="n">
        <v>19</v>
      </c>
      <c r="AN26" s="5">
        <f>IF(OR(AL26=0,AM26=""),"",AM26/AL26)</f>
        <v/>
      </c>
      <c r="AO26" s="5" t="n"/>
      <c r="AP26" s="10" t="n">
        <v>0.392</v>
      </c>
      <c r="AQ26" s="4" t="n"/>
      <c r="AR26" s="4" t="n"/>
      <c r="AS26" s="5">
        <f>IF(OR(AQ26=0,AR26=""),"",AR26/AQ26)</f>
        <v/>
      </c>
      <c r="AT26" s="5" t="n"/>
      <c r="AU26" s="10" t="n">
        <v>36</v>
      </c>
      <c r="AV26" s="4" t="n">
        <v>2</v>
      </c>
      <c r="AW26" s="4" t="n">
        <v>6</v>
      </c>
      <c r="AX26" s="5">
        <f>IF(OR(AV26=0,AW26=""),"",AW26/AV26)</f>
        <v/>
      </c>
      <c r="AY26" s="5" t="n">
        <v>189.4</v>
      </c>
      <c r="AZ26" s="10" t="n"/>
      <c r="BA26" s="4" t="n">
        <v>2</v>
      </c>
      <c r="BB26" s="4" t="n"/>
      <c r="BC26" s="5">
        <f>IF(OR(BA26=0,BB26=""),"",BB26/BA26)</f>
        <v/>
      </c>
      <c r="BD26" s="5" t="n">
        <v>189.4</v>
      </c>
      <c r="BE26" s="10" t="n">
        <v>0.004</v>
      </c>
      <c r="BF26" s="4" t="n">
        <v>2.178</v>
      </c>
      <c r="BG26" s="4" t="n">
        <v>5.084</v>
      </c>
      <c r="BH26" s="5">
        <f>IF(OR(BF26=0,BG26=""),"",BG26/BF26)</f>
        <v/>
      </c>
      <c r="BI26" s="5" t="n">
        <v>824.38</v>
      </c>
      <c r="BJ26" s="10" t="n">
        <v>16.421</v>
      </c>
      <c r="BK26" s="4" t="n">
        <v>0.07000000000000001</v>
      </c>
      <c r="BL26" s="4" t="n">
        <v>1.27</v>
      </c>
      <c r="BM26" s="5">
        <f>IF(OR(BK26=0,BL26=""),"",BL26/BK26)</f>
        <v/>
      </c>
      <c r="BN26" s="5" t="n">
        <v>27.5</v>
      </c>
      <c r="BO26" s="10" t="n">
        <v>254.417</v>
      </c>
      <c r="BP26" s="4" t="n">
        <v>21.8</v>
      </c>
      <c r="BQ26" s="4" t="n">
        <v>167.6</v>
      </c>
      <c r="BR26" s="5">
        <f>IF(OR(BP26=0,BQ26=""),"",BQ26/BP26)</f>
        <v/>
      </c>
      <c r="BS26" s="5" t="n">
        <v>2395.33</v>
      </c>
    </row>
    <row r="27" ht="11.1" customHeight="1">
      <c r="A27" s="3" t="inlineStr">
        <is>
          <t>Магазин27 (вул.Радистів буд.14)</t>
        </is>
      </c>
      <c r="B27" s="4" t="n">
        <v>0.368</v>
      </c>
      <c r="C27" s="4" t="n">
        <v>1.728</v>
      </c>
      <c r="D27" s="4" t="n">
        <v>3.356</v>
      </c>
      <c r="E27" s="5">
        <f>IF(OR(C27=0,D27=""),"",D27/C27)</f>
        <v/>
      </c>
      <c r="F27" s="5" t="n">
        <v>430.29</v>
      </c>
      <c r="G27" s="4" t="n"/>
      <c r="H27" s="4" t="n"/>
      <c r="I27" s="4" t="n">
        <v>2.486</v>
      </c>
      <c r="J27" s="5">
        <f>IF(OR(H27=0,I27=""),"",I27/H27)</f>
        <v/>
      </c>
      <c r="K27" s="5" t="n"/>
      <c r="L27" s="4" t="n">
        <v>7</v>
      </c>
      <c r="M27" s="4" t="n">
        <v>2</v>
      </c>
      <c r="N27" s="4" t="n">
        <v>31</v>
      </c>
      <c r="O27" s="5">
        <f>IF(OR(M27=0,N27=""),"",N27/M27)</f>
        <v/>
      </c>
      <c r="P27" s="5" t="n">
        <v>211.4</v>
      </c>
      <c r="Q27" s="4" t="n">
        <v>73</v>
      </c>
      <c r="R27" s="4" t="n">
        <v>1</v>
      </c>
      <c r="S27" s="4" t="n">
        <v>97</v>
      </c>
      <c r="T27" s="5">
        <f>IF(OR(R27=0,S27=""),"",S27/R27)</f>
        <v/>
      </c>
      <c r="U27" s="5" t="n">
        <v>66.3</v>
      </c>
      <c r="V27" s="4" t="n">
        <v>89</v>
      </c>
      <c r="W27" s="4" t="n">
        <v>2</v>
      </c>
      <c r="X27" s="4" t="n">
        <v>28</v>
      </c>
      <c r="Y27" s="5">
        <f>IF(OR(W27=0,X27=""),"",X27/W27)</f>
        <v/>
      </c>
      <c r="Z27" s="5" t="n">
        <v>65.8</v>
      </c>
      <c r="AA27" s="4" t="n">
        <v>32</v>
      </c>
      <c r="AB27" s="4" t="n">
        <v>1</v>
      </c>
      <c r="AC27" s="4" t="n">
        <v>17</v>
      </c>
      <c r="AD27" s="5">
        <f>IF(OR(AB27=0,AC27=""),"",AC27/AB27)</f>
        <v/>
      </c>
      <c r="AE27" s="5" t="n">
        <v>94.7</v>
      </c>
      <c r="AF27" s="4" t="n">
        <v>3</v>
      </c>
      <c r="AG27" s="4" t="n">
        <v>7</v>
      </c>
      <c r="AH27" s="4" t="n">
        <v>14</v>
      </c>
      <c r="AI27" s="5">
        <f>IF(OR(AG27=0,AH27=""),"",AH27/AG27)</f>
        <v/>
      </c>
      <c r="AJ27" s="5" t="n">
        <v>536.2</v>
      </c>
      <c r="AK27" s="4" t="n"/>
      <c r="AL27" s="4" t="n">
        <v>7</v>
      </c>
      <c r="AM27" s="4" t="n">
        <v>58</v>
      </c>
      <c r="AN27" s="5">
        <f>IF(OR(AL27=0,AM27=""),"",AM27/AL27)</f>
        <v/>
      </c>
      <c r="AO27" s="5" t="n">
        <v>175</v>
      </c>
      <c r="AP27" s="4" t="n"/>
      <c r="AQ27" s="4" t="n"/>
      <c r="AR27" s="4" t="n">
        <v>2.032</v>
      </c>
      <c r="AS27" s="5">
        <f>IF(OR(AQ27=0,AR27=""),"",AR27/AQ27)</f>
        <v/>
      </c>
      <c r="AT27" s="5" t="n"/>
      <c r="AU27" s="4" t="n">
        <v>35</v>
      </c>
      <c r="AV27" s="4" t="n">
        <v>3</v>
      </c>
      <c r="AW27" s="4" t="n">
        <v>15</v>
      </c>
      <c r="AX27" s="5">
        <f>IF(OR(AV27=0,AW27=""),"",AW27/AV27)</f>
        <v/>
      </c>
      <c r="AY27" s="5" t="n">
        <v>284.1</v>
      </c>
      <c r="AZ27" s="4" t="n">
        <v>39</v>
      </c>
      <c r="BA27" s="4" t="n">
        <v>6</v>
      </c>
      <c r="BB27" s="4" t="n">
        <v>27</v>
      </c>
      <c r="BC27" s="5">
        <f>IF(OR(BA27=0,BB27=""),"",BB27/BA27)</f>
        <v/>
      </c>
      <c r="BD27" s="5" t="n">
        <v>568.2</v>
      </c>
      <c r="BE27" s="4" t="n"/>
      <c r="BF27" s="4" t="n">
        <v>2.542</v>
      </c>
      <c r="BG27" s="4" t="n">
        <v>10.85</v>
      </c>
      <c r="BH27" s="5">
        <f>IF(OR(BF27=0,BG27=""),"",BG27/BF27)</f>
        <v/>
      </c>
      <c r="BI27" s="5" t="n">
        <v>962.16</v>
      </c>
      <c r="BJ27" s="4" t="n">
        <v>21.242</v>
      </c>
      <c r="BK27" s="4" t="n">
        <v>0.458</v>
      </c>
      <c r="BL27" s="4" t="n">
        <v>13.608</v>
      </c>
      <c r="BM27" s="5">
        <f>IF(OR(BK27=0,BL27=""),"",BL27/BK27)</f>
        <v/>
      </c>
      <c r="BN27" s="5" t="n">
        <v>179.91</v>
      </c>
      <c r="BO27" s="4" t="n">
        <v>299.61</v>
      </c>
      <c r="BP27" s="4" t="n">
        <v>33.73</v>
      </c>
      <c r="BQ27" s="4" t="n">
        <v>319.33</v>
      </c>
      <c r="BR27" s="5">
        <f>IF(OR(BP27=0,BQ27=""),"",BQ27/BP27)</f>
        <v/>
      </c>
      <c r="BS27" s="5" t="n">
        <v>3574.06</v>
      </c>
    </row>
    <row r="28" ht="11.1" customHeight="1">
      <c r="A28" s="3" t="inlineStr">
        <is>
          <t>Магазин31 (м.Житомир, вул.Вітрука, буд.19)</t>
        </is>
      </c>
      <c r="B28" s="4" t="n">
        <v>1.684</v>
      </c>
      <c r="C28" s="4" t="n">
        <v>0.864</v>
      </c>
      <c r="D28" s="4" t="n">
        <v>1.684</v>
      </c>
      <c r="E28" s="5">
        <f>IF(OR(C28=0,D28=""),"",D28/C28)</f>
        <v/>
      </c>
      <c r="F28" s="5" t="n">
        <v>215.14</v>
      </c>
      <c r="G28" s="4" t="n">
        <v>0.01</v>
      </c>
      <c r="H28" s="4" t="n"/>
      <c r="I28" s="4" t="n">
        <v>0.368</v>
      </c>
      <c r="J28" s="5">
        <f>IF(OR(H28=0,I28=""),"",I28/H28)</f>
        <v/>
      </c>
      <c r="K28" s="5" t="n"/>
      <c r="L28" s="4" t="n">
        <v>14</v>
      </c>
      <c r="M28" s="4" t="n"/>
      <c r="N28" s="4" t="n">
        <v>11</v>
      </c>
      <c r="O28" s="5">
        <f>IF(OR(M28=0,N28=""),"",N28/M28)</f>
        <v/>
      </c>
      <c r="P28" s="5" t="n"/>
      <c r="Q28" s="4" t="n">
        <v>19</v>
      </c>
      <c r="R28" s="4" t="n"/>
      <c r="S28" s="4" t="n">
        <v>19</v>
      </c>
      <c r="T28" s="5">
        <f>IF(OR(R28=0,S28=""),"",S28/R28)</f>
        <v/>
      </c>
      <c r="U28" s="5" t="n"/>
      <c r="V28" s="4" t="n">
        <v>67</v>
      </c>
      <c r="W28" s="4" t="n"/>
      <c r="X28" s="4" t="n">
        <v>5</v>
      </c>
      <c r="Y28" s="5">
        <f>IF(OR(W28=0,X28=""),"",X28/W28)</f>
        <v/>
      </c>
      <c r="Z28" s="5" t="n"/>
      <c r="AA28" s="4" t="n">
        <v>21</v>
      </c>
      <c r="AB28" s="4" t="n"/>
      <c r="AC28" s="4" t="n">
        <v>6</v>
      </c>
      <c r="AD28" s="5">
        <f>IF(OR(AB28=0,AC28=""),"",AC28/AB28)</f>
        <v/>
      </c>
      <c r="AE28" s="5" t="n"/>
      <c r="AF28" s="4" t="n">
        <v>21</v>
      </c>
      <c r="AG28" s="4" t="n"/>
      <c r="AH28" s="4" t="n"/>
      <c r="AI28" s="5">
        <f>IF(OR(AG28=0,AH28=""),"",AH28/AG28)</f>
        <v/>
      </c>
      <c r="AJ28" s="5" t="n"/>
      <c r="AK28" s="4" t="n"/>
      <c r="AL28" s="4" t="n"/>
      <c r="AM28" s="4" t="n">
        <v>5</v>
      </c>
      <c r="AN28" s="5">
        <f>IF(OR(AL28=0,AM28=""),"",AM28/AL28)</f>
        <v/>
      </c>
      <c r="AO28" s="5" t="n"/>
      <c r="AP28" s="4" t="n">
        <v>0.4</v>
      </c>
      <c r="AQ28" s="4" t="n"/>
      <c r="AR28" s="4" t="n"/>
      <c r="AS28" s="5">
        <f>IF(OR(AQ28=0,AR28=""),"",AR28/AQ28)</f>
        <v/>
      </c>
      <c r="AT28" s="5" t="n"/>
      <c r="AU28" s="4" t="n">
        <v>11</v>
      </c>
      <c r="AV28" s="4" t="n"/>
      <c r="AW28" s="4" t="n"/>
      <c r="AX28" s="5">
        <f>IF(OR(AV28=0,AW28=""),"",AW28/AV28)</f>
        <v/>
      </c>
      <c r="AY28" s="5" t="n"/>
      <c r="AZ28" s="4" t="n">
        <v>1</v>
      </c>
      <c r="BA28" s="4" t="n">
        <v>1</v>
      </c>
      <c r="BB28" s="4" t="n">
        <v>3</v>
      </c>
      <c r="BC28" s="5">
        <f>IF(OR(BA28=0,BB28=""),"",BB28/BA28)</f>
        <v/>
      </c>
      <c r="BD28" s="5" t="n">
        <v>91.59999999999999</v>
      </c>
      <c r="BE28" s="4" t="n">
        <v>0.572</v>
      </c>
      <c r="BF28" s="4" t="n"/>
      <c r="BG28" s="4" t="n">
        <v>1.004</v>
      </c>
      <c r="BH28" s="5">
        <f>IF(OR(BF28=0,BG28=""),"",BG28/BF28)</f>
        <v/>
      </c>
      <c r="BI28" s="5" t="n"/>
      <c r="BJ28" s="4" t="n">
        <v>6.17</v>
      </c>
      <c r="BK28" s="4" t="n"/>
      <c r="BL28" s="4" t="n">
        <v>0.8100000000000001</v>
      </c>
      <c r="BM28" s="5">
        <f>IF(OR(BK28=0,BL28=""),"",BL28/BK28)</f>
        <v/>
      </c>
      <c r="BN28" s="5" t="n"/>
      <c r="BO28" s="4" t="n">
        <v>162.836</v>
      </c>
      <c r="BP28" s="4" t="n">
        <v>1.86</v>
      </c>
      <c r="BQ28" s="4" t="n">
        <v>52.87</v>
      </c>
      <c r="BR28" s="5">
        <f>IF(OR(BP28=0,BQ28=""),"",BQ28/BP28)</f>
        <v/>
      </c>
      <c r="BS28" s="5" t="n">
        <v>306.74</v>
      </c>
    </row>
    <row r="29" ht="11.1" customHeight="1">
      <c r="A29" s="3" t="inlineStr">
        <is>
          <t>Магазин32 (вул.Закревського Миколи 47А)</t>
        </is>
      </c>
      <c r="B29" s="5" t="n">
        <v>1.93</v>
      </c>
      <c r="C29" s="4" t="n">
        <v>1.452</v>
      </c>
      <c r="D29" s="4" t="n">
        <v>5.396</v>
      </c>
      <c r="E29" s="5">
        <f>IF(OR(C29=0,D29=""),"",D29/C29)</f>
        <v/>
      </c>
      <c r="F29" s="5" t="n">
        <v>361.54</v>
      </c>
      <c r="G29" s="5" t="n"/>
      <c r="H29" s="4" t="n">
        <v>0.716</v>
      </c>
      <c r="I29" s="4" t="n">
        <v>2.188</v>
      </c>
      <c r="J29" s="5">
        <f>IF(OR(H29=0,I29=""),"",I29/H29)</f>
        <v/>
      </c>
      <c r="K29" s="5" t="n">
        <v>278.52</v>
      </c>
      <c r="L29" s="5" t="n">
        <v>14</v>
      </c>
      <c r="M29" s="4" t="n"/>
      <c r="N29" s="4" t="n">
        <v>12</v>
      </c>
      <c r="O29" s="5">
        <f>IF(OR(M29=0,N29=""),"",N29/M29)</f>
        <v/>
      </c>
      <c r="P29" s="5" t="n"/>
      <c r="Q29" s="5" t="n">
        <v>52</v>
      </c>
      <c r="R29" s="4" t="n">
        <v>2</v>
      </c>
      <c r="S29" s="4" t="n">
        <v>61</v>
      </c>
      <c r="T29" s="5">
        <f>IF(OR(R29=0,S29=""),"",S29/R29)</f>
        <v/>
      </c>
      <c r="U29" s="5" t="n">
        <v>132.6</v>
      </c>
      <c r="V29" s="5" t="n">
        <v>62</v>
      </c>
      <c r="W29" s="4" t="n">
        <v>6</v>
      </c>
      <c r="X29" s="4" t="n">
        <v>2</v>
      </c>
      <c r="Y29" s="5">
        <f>IF(OR(W29=0,X29=""),"",X29/W29)</f>
        <v/>
      </c>
      <c r="Z29" s="5" t="n">
        <v>197.4</v>
      </c>
      <c r="AA29" s="5" t="n">
        <v>5</v>
      </c>
      <c r="AB29" s="4" t="n"/>
      <c r="AC29" s="4" t="n">
        <v>4</v>
      </c>
      <c r="AD29" s="5">
        <f>IF(OR(AB29=0,AC29=""),"",AC29/AB29)</f>
        <v/>
      </c>
      <c r="AE29" s="5" t="n"/>
      <c r="AF29" s="5" t="n">
        <v>17</v>
      </c>
      <c r="AG29" s="4" t="n"/>
      <c r="AH29" s="4" t="n">
        <v>29</v>
      </c>
      <c r="AI29" s="5">
        <f>IF(OR(AG29=0,AH29=""),"",AH29/AG29)</f>
        <v/>
      </c>
      <c r="AJ29" s="5" t="n"/>
      <c r="AK29" s="5" t="n">
        <v>2</v>
      </c>
      <c r="AL29" s="4" t="n">
        <v>7</v>
      </c>
      <c r="AM29" s="4" t="n">
        <v>117</v>
      </c>
      <c r="AN29" s="5">
        <f>IF(OR(AL29=0,AM29=""),"",AM29/AL29)</f>
        <v/>
      </c>
      <c r="AO29" s="5" t="n">
        <v>175</v>
      </c>
      <c r="AP29" s="5" t="n">
        <v>0.76</v>
      </c>
      <c r="AQ29" s="4" t="n"/>
      <c r="AR29" s="4" t="n">
        <v>2.828</v>
      </c>
      <c r="AS29" s="5">
        <f>IF(OR(AQ29=0,AR29=""),"",AR29/AQ29)</f>
        <v/>
      </c>
      <c r="AT29" s="5" t="n"/>
      <c r="AU29" s="5" t="n">
        <v>9</v>
      </c>
      <c r="AV29" s="4" t="n">
        <v>2</v>
      </c>
      <c r="AW29" s="4" t="n">
        <v>4</v>
      </c>
      <c r="AX29" s="5">
        <f>IF(OR(AV29=0,AW29=""),"",AW29/AV29)</f>
        <v/>
      </c>
      <c r="AY29" s="5" t="n">
        <v>189.4</v>
      </c>
      <c r="AZ29" s="5" t="n">
        <v>33</v>
      </c>
      <c r="BA29" s="4" t="n">
        <v>3</v>
      </c>
      <c r="BB29" s="4" t="n">
        <v>36</v>
      </c>
      <c r="BC29" s="5">
        <f>IF(OR(BA29=0,BB29=""),"",BB29/BA29)</f>
        <v/>
      </c>
      <c r="BD29" s="5" t="n">
        <v>284.1</v>
      </c>
      <c r="BE29" s="5" t="n">
        <v>1.556</v>
      </c>
      <c r="BF29" s="4" t="n">
        <v>2.078</v>
      </c>
      <c r="BG29" s="4" t="n">
        <v>14.514</v>
      </c>
      <c r="BH29" s="5">
        <f>IF(OR(BF29=0,BG29=""),"",BG29/BF29)</f>
        <v/>
      </c>
      <c r="BI29" s="5" t="n">
        <v>786.52</v>
      </c>
      <c r="BJ29" s="5" t="n">
        <v>13.178</v>
      </c>
      <c r="BK29" s="4" t="n">
        <v>0.104</v>
      </c>
      <c r="BL29" s="4" t="n">
        <v>12.154</v>
      </c>
      <c r="BM29" s="5">
        <f>IF(OR(BK29=0,BL29=""),"",BL29/BK29)</f>
        <v/>
      </c>
      <c r="BN29" s="5" t="n">
        <v>40.85</v>
      </c>
      <c r="BO29" s="5" t="n">
        <v>211.424</v>
      </c>
      <c r="BP29" s="4" t="n">
        <v>24.35</v>
      </c>
      <c r="BQ29" s="4" t="n">
        <v>302.08</v>
      </c>
      <c r="BR29" s="5">
        <f>IF(OR(BP29=0,BQ29=""),"",BQ29/BP29)</f>
        <v/>
      </c>
      <c r="BS29" s="5" t="n">
        <v>2445.93</v>
      </c>
    </row>
    <row r="30" ht="11.1" customHeight="1">
      <c r="A30" s="3" t="inlineStr">
        <is>
          <t>Магазин33 (м.Бровари, вул. Київська,буд.95)</t>
        </is>
      </c>
      <c r="B30" s="4" t="n">
        <v>0.044</v>
      </c>
      <c r="C30" s="4" t="n">
        <v>1.484</v>
      </c>
      <c r="D30" s="4" t="n">
        <v>1.538</v>
      </c>
      <c r="E30" s="5">
        <f>IF(OR(C30=0,D30=""),"",D30/C30)</f>
        <v/>
      </c>
      <c r="F30" s="5" t="n">
        <v>369.51</v>
      </c>
      <c r="G30" s="4" t="n"/>
      <c r="H30" s="4" t="n"/>
      <c r="I30" s="4" t="n">
        <v>1.064</v>
      </c>
      <c r="J30" s="5">
        <f>IF(OR(H30=0,I30=""),"",I30/H30)</f>
        <v/>
      </c>
      <c r="K30" s="5" t="n"/>
      <c r="L30" s="4" t="n">
        <v>15</v>
      </c>
      <c r="M30" s="4" t="n"/>
      <c r="N30" s="4" t="n">
        <v>10</v>
      </c>
      <c r="O30" s="5">
        <f>IF(OR(M30=0,N30=""),"",N30/M30)</f>
        <v/>
      </c>
      <c r="P30" s="5" t="n"/>
      <c r="Q30" s="4" t="n">
        <v>45</v>
      </c>
      <c r="R30" s="4" t="n">
        <v>2</v>
      </c>
      <c r="S30" s="4" t="n">
        <v>63</v>
      </c>
      <c r="T30" s="5">
        <f>IF(OR(R30=0,S30=""),"",S30/R30)</f>
        <v/>
      </c>
      <c r="U30" s="5" t="n">
        <v>132.6</v>
      </c>
      <c r="V30" s="4" t="n">
        <v>88</v>
      </c>
      <c r="W30" s="4" t="n">
        <v>1</v>
      </c>
      <c r="X30" s="4" t="n">
        <v>13</v>
      </c>
      <c r="Y30" s="5">
        <f>IF(OR(W30=0,X30=""),"",X30/W30)</f>
        <v/>
      </c>
      <c r="Z30" s="5" t="n">
        <v>32.9</v>
      </c>
      <c r="AA30" s="4" t="n">
        <v>37</v>
      </c>
      <c r="AB30" s="4" t="n"/>
      <c r="AC30" s="4" t="n">
        <v>8</v>
      </c>
      <c r="AD30" s="5">
        <f>IF(OR(AB30=0,AC30=""),"",AC30/AB30)</f>
        <v/>
      </c>
      <c r="AE30" s="5" t="n"/>
      <c r="AF30" s="4" t="n">
        <v>23</v>
      </c>
      <c r="AG30" s="4" t="n">
        <v>1</v>
      </c>
      <c r="AH30" s="4" t="n">
        <v>6</v>
      </c>
      <c r="AI30" s="5">
        <f>IF(OR(AG30=0,AH30=""),"",AH30/AG30)</f>
        <v/>
      </c>
      <c r="AJ30" s="5" t="n">
        <v>76.59999999999999</v>
      </c>
      <c r="AK30" s="4" t="n"/>
      <c r="AL30" s="4" t="n">
        <v>4</v>
      </c>
      <c r="AM30" s="4" t="n">
        <v>22</v>
      </c>
      <c r="AN30" s="5">
        <f>IF(OR(AL30=0,AM30=""),"",AM30/AL30)</f>
        <v/>
      </c>
      <c r="AO30" s="5" t="n">
        <v>100</v>
      </c>
      <c r="AP30" s="4" t="n">
        <v>3.16</v>
      </c>
      <c r="AQ30" s="4" t="n"/>
      <c r="AR30" s="4" t="n">
        <v>1.244</v>
      </c>
      <c r="AS30" s="5">
        <f>IF(OR(AQ30=0,AR30=""),"",AR30/AQ30)</f>
        <v/>
      </c>
      <c r="AT30" s="5" t="n"/>
      <c r="AU30" s="4" t="n">
        <v>24</v>
      </c>
      <c r="AV30" s="4" t="n">
        <v>1</v>
      </c>
      <c r="AW30" s="4" t="n">
        <v>14</v>
      </c>
      <c r="AX30" s="5">
        <f>IF(OR(AV30=0,AW30=""),"",AW30/AV30)</f>
        <v/>
      </c>
      <c r="AY30" s="5" t="n">
        <v>94.7</v>
      </c>
      <c r="AZ30" s="4" t="n">
        <v>30</v>
      </c>
      <c r="BA30" s="4" t="n">
        <v>1</v>
      </c>
      <c r="BB30" s="4" t="n">
        <v>24</v>
      </c>
      <c r="BC30" s="5">
        <f>IF(OR(BA30=0,BB30=""),"",BB30/BA30)</f>
        <v/>
      </c>
      <c r="BD30" s="5" t="n">
        <v>94.7</v>
      </c>
      <c r="BE30" s="4" t="n">
        <v>0.512</v>
      </c>
      <c r="BF30" s="4" t="n"/>
      <c r="BG30" s="4" t="n">
        <v>5.914</v>
      </c>
      <c r="BH30" s="5">
        <f>IF(OR(BF30=0,BG30=""),"",BG30/BF30)</f>
        <v/>
      </c>
      <c r="BI30" s="5" t="n"/>
      <c r="BJ30" s="4" t="n">
        <v>17.288</v>
      </c>
      <c r="BK30" s="4" t="n">
        <v>0.466</v>
      </c>
      <c r="BL30" s="4" t="n">
        <v>11.184</v>
      </c>
      <c r="BM30" s="5">
        <f>IF(OR(BK30=0,BL30=""),"",BL30/BK30)</f>
        <v/>
      </c>
      <c r="BN30" s="5" t="n">
        <v>183.04</v>
      </c>
      <c r="BO30" s="4" t="n">
        <v>283.004</v>
      </c>
      <c r="BP30" s="4" t="n">
        <v>11.95</v>
      </c>
      <c r="BQ30" s="4" t="n">
        <v>180.94</v>
      </c>
      <c r="BR30" s="5">
        <f>IF(OR(BP30=0,BQ30=""),"",BQ30/BP30)</f>
        <v/>
      </c>
      <c r="BS30" s="5" t="n">
        <v>1084.05</v>
      </c>
    </row>
    <row r="31" ht="11.1" customHeight="1">
      <c r="A31" s="3" t="inlineStr">
        <is>
          <t>Магазин35 (вул.О.Пчілки, буд,7-Б)</t>
        </is>
      </c>
      <c r="B31" s="4" t="n">
        <v>0.702</v>
      </c>
      <c r="C31" s="4" t="n">
        <v>2.438</v>
      </c>
      <c r="D31" s="4" t="n">
        <v>3.17</v>
      </c>
      <c r="E31" s="5">
        <f>IF(OR(C31=0,D31=""),"",D31/C31)</f>
        <v/>
      </c>
      <c r="F31" s="5" t="n">
        <v>607.08</v>
      </c>
      <c r="G31" s="4" t="n">
        <v>2.39</v>
      </c>
      <c r="H31" s="4" t="n">
        <v>0.72</v>
      </c>
      <c r="I31" s="4" t="n">
        <v>10.684</v>
      </c>
      <c r="J31" s="5">
        <f>IF(OR(H31=0,I31=""),"",I31/H31)</f>
        <v/>
      </c>
      <c r="K31" s="5" t="n">
        <v>280.08</v>
      </c>
      <c r="L31" s="4" t="n">
        <v>11</v>
      </c>
      <c r="M31" s="4" t="n">
        <v>1</v>
      </c>
      <c r="N31" s="4" t="n">
        <v>51</v>
      </c>
      <c r="O31" s="5">
        <f>IF(OR(M31=0,N31=""),"",N31/M31)</f>
        <v/>
      </c>
      <c r="P31" s="5" t="n">
        <v>105.7</v>
      </c>
      <c r="Q31" s="4" t="n">
        <v>80</v>
      </c>
      <c r="R31" s="4" t="n">
        <v>5</v>
      </c>
      <c r="S31" s="4" t="n">
        <v>92</v>
      </c>
      <c r="T31" s="5">
        <f>IF(OR(R31=0,S31=""),"",S31/R31)</f>
        <v/>
      </c>
      <c r="U31" s="5" t="n">
        <v>331.5</v>
      </c>
      <c r="V31" s="4" t="n">
        <v>86</v>
      </c>
      <c r="W31" s="4" t="n"/>
      <c r="X31" s="4" t="n">
        <v>83</v>
      </c>
      <c r="Y31" s="5">
        <f>IF(OR(W31=0,X31=""),"",X31/W31)</f>
        <v/>
      </c>
      <c r="Z31" s="5" t="n"/>
      <c r="AA31" s="4" t="n">
        <v>34</v>
      </c>
      <c r="AB31" s="4" t="n"/>
      <c r="AC31" s="4" t="n">
        <v>23</v>
      </c>
      <c r="AD31" s="5">
        <f>IF(OR(AB31=0,AC31=""),"",AC31/AB31)</f>
        <v/>
      </c>
      <c r="AE31" s="5" t="n"/>
      <c r="AF31" s="4" t="n">
        <v>13</v>
      </c>
      <c r="AG31" s="4" t="n">
        <v>11</v>
      </c>
      <c r="AH31" s="4" t="n">
        <v>42</v>
      </c>
      <c r="AI31" s="5">
        <f>IF(OR(AG31=0,AH31=""),"",AH31/AG31)</f>
        <v/>
      </c>
      <c r="AJ31" s="5" t="n">
        <v>842.6</v>
      </c>
      <c r="AK31" s="4" t="n">
        <v>7</v>
      </c>
      <c r="AL31" s="4" t="n">
        <v>14</v>
      </c>
      <c r="AM31" s="4" t="n">
        <v>45</v>
      </c>
      <c r="AN31" s="5">
        <f>IF(OR(AL31=0,AM31=""),"",AM31/AL31)</f>
        <v/>
      </c>
      <c r="AO31" s="5" t="n">
        <v>350</v>
      </c>
      <c r="AP31" s="4" t="n">
        <v>0.378</v>
      </c>
      <c r="AQ31" s="4" t="n"/>
      <c r="AR31" s="4" t="n">
        <v>1.16</v>
      </c>
      <c r="AS31" s="5">
        <f>IF(OR(AQ31=0,AR31=""),"",AR31/AQ31)</f>
        <v/>
      </c>
      <c r="AT31" s="5" t="n"/>
      <c r="AU31" s="4" t="n">
        <v>13</v>
      </c>
      <c r="AV31" s="4" t="n">
        <v>1</v>
      </c>
      <c r="AW31" s="4" t="n">
        <v>23</v>
      </c>
      <c r="AX31" s="5">
        <f>IF(OR(AV31=0,AW31=""),"",AW31/AV31)</f>
        <v/>
      </c>
      <c r="AY31" s="5" t="n">
        <v>94.7</v>
      </c>
      <c r="AZ31" s="4" t="n">
        <v>41</v>
      </c>
      <c r="BA31" s="4" t="n">
        <v>5</v>
      </c>
      <c r="BB31" s="4" t="n">
        <v>29</v>
      </c>
      <c r="BC31" s="5">
        <f>IF(OR(BA31=0,BB31=""),"",BB31/BA31)</f>
        <v/>
      </c>
      <c r="BD31" s="5" t="n">
        <v>473.5</v>
      </c>
      <c r="BE31" s="4" t="n">
        <v>0.84</v>
      </c>
      <c r="BF31" s="4" t="n">
        <v>2.82</v>
      </c>
      <c r="BG31" s="4" t="n">
        <v>13.086</v>
      </c>
      <c r="BH31" s="5">
        <f>IF(OR(BF31=0,BG31=""),"",BG31/BF31)</f>
        <v/>
      </c>
      <c r="BI31" s="5" t="n">
        <v>1067.36</v>
      </c>
      <c r="BJ31" s="4" t="n">
        <v>14.254</v>
      </c>
      <c r="BK31" s="4" t="n">
        <v>0.832</v>
      </c>
      <c r="BL31" s="4" t="n">
        <v>23.108</v>
      </c>
      <c r="BM31" s="5">
        <f>IF(OR(BK31=0,BL31=""),"",BL31/BK31)</f>
        <v/>
      </c>
      <c r="BN31" s="5" t="n">
        <v>326.81</v>
      </c>
      <c r="BO31" s="4" t="n">
        <v>303.564</v>
      </c>
      <c r="BP31" s="4" t="n">
        <v>43.81</v>
      </c>
      <c r="BQ31" s="4" t="n">
        <v>439.21</v>
      </c>
      <c r="BR31" s="5">
        <f>IF(OR(BP31=0,BQ31=""),"",BQ31/BP31)</f>
        <v/>
      </c>
      <c r="BS31" s="5" t="n">
        <v>4479.33</v>
      </c>
    </row>
    <row r="32" ht="11.1" customHeight="1">
      <c r="A32" s="3" t="inlineStr">
        <is>
          <t>Магазин36 (м.Буча, пров.Тихого, буд.4, секц.2, приміщ.236)</t>
        </is>
      </c>
      <c r="B32" s="8" t="n"/>
      <c r="C32" s="5" t="n">
        <v>0.61</v>
      </c>
      <c r="D32" s="4" t="n">
        <v>2.652</v>
      </c>
      <c r="E32" s="5">
        <f>IF(OR(C32=0,D32=""),"",D32/C32)</f>
        <v/>
      </c>
      <c r="F32" s="5" t="n">
        <v>151.89</v>
      </c>
      <c r="G32" s="8" t="n"/>
      <c r="H32" s="5" t="n"/>
      <c r="I32" s="4" t="n">
        <v>1.826</v>
      </c>
      <c r="J32" s="5">
        <f>IF(OR(H32=0,I32=""),"",I32/H32)</f>
        <v/>
      </c>
      <c r="K32" s="5" t="n"/>
      <c r="L32" s="8" t="n">
        <v>14</v>
      </c>
      <c r="M32" s="5" t="n">
        <v>1</v>
      </c>
      <c r="N32" s="4" t="n">
        <v>14</v>
      </c>
      <c r="O32" s="5">
        <f>IF(OR(M32=0,N32=""),"",N32/M32)</f>
        <v/>
      </c>
      <c r="P32" s="5" t="n">
        <v>105.7</v>
      </c>
      <c r="Q32" s="8" t="n">
        <v>71</v>
      </c>
      <c r="R32" s="5" t="n">
        <v>3</v>
      </c>
      <c r="S32" s="4" t="n">
        <v>95</v>
      </c>
      <c r="T32" s="5">
        <f>IF(OR(R32=0,S32=""),"",S32/R32)</f>
        <v/>
      </c>
      <c r="U32" s="5" t="n">
        <v>198.9</v>
      </c>
      <c r="V32" s="8" t="n">
        <v>78</v>
      </c>
      <c r="W32" s="5" t="n">
        <v>6</v>
      </c>
      <c r="X32" s="4" t="n">
        <v>24</v>
      </c>
      <c r="Y32" s="5">
        <f>IF(OR(W32=0,X32=""),"",X32/W32)</f>
        <v/>
      </c>
      <c r="Z32" s="5" t="n">
        <v>197.4</v>
      </c>
      <c r="AA32" s="8" t="n">
        <v>23</v>
      </c>
      <c r="AB32" s="5" t="n">
        <v>1</v>
      </c>
      <c r="AC32" s="4" t="n">
        <v>15</v>
      </c>
      <c r="AD32" s="5">
        <f>IF(OR(AB32=0,AC32=""),"",AC32/AB32)</f>
        <v/>
      </c>
      <c r="AE32" s="5" t="n">
        <v>94.7</v>
      </c>
      <c r="AF32" s="8" t="n">
        <v>37</v>
      </c>
      <c r="AG32" s="5" t="n"/>
      <c r="AH32" s="4" t="n">
        <v>10</v>
      </c>
      <c r="AI32" s="5">
        <f>IF(OR(AG32=0,AH32=""),"",AH32/AG32)</f>
        <v/>
      </c>
      <c r="AJ32" s="5" t="n"/>
      <c r="AK32" s="8" t="n"/>
      <c r="AL32" s="5" t="n"/>
      <c r="AM32" s="4" t="n">
        <v>24</v>
      </c>
      <c r="AN32" s="5">
        <f>IF(OR(AL32=0,AM32=""),"",AM32/AL32)</f>
        <v/>
      </c>
      <c r="AO32" s="5" t="n"/>
      <c r="AP32" s="8" t="n"/>
      <c r="AQ32" s="5" t="n"/>
      <c r="AR32" s="4" t="n">
        <v>1.614</v>
      </c>
      <c r="AS32" s="5">
        <f>IF(OR(AQ32=0,AR32=""),"",AR32/AQ32)</f>
        <v/>
      </c>
      <c r="AT32" s="5" t="n"/>
      <c r="AU32" s="8" t="n">
        <v>27</v>
      </c>
      <c r="AV32" s="5" t="n">
        <v>1</v>
      </c>
      <c r="AW32" s="4" t="n">
        <v>19</v>
      </c>
      <c r="AX32" s="5">
        <f>IF(OR(AV32=0,AW32=""),"",AW32/AV32)</f>
        <v/>
      </c>
      <c r="AY32" s="5" t="n">
        <v>94.7</v>
      </c>
      <c r="AZ32" s="8" t="n">
        <v>42</v>
      </c>
      <c r="BA32" s="5" t="n">
        <v>2</v>
      </c>
      <c r="BB32" s="4" t="n">
        <v>36</v>
      </c>
      <c r="BC32" s="5">
        <f>IF(OR(BA32=0,BB32=""),"",BB32/BA32)</f>
        <v/>
      </c>
      <c r="BD32" s="5" t="n">
        <v>189.4</v>
      </c>
      <c r="BE32" s="8" t="n"/>
      <c r="BF32" s="5" t="n">
        <v>0.386</v>
      </c>
      <c r="BG32" s="4" t="n">
        <v>2.768</v>
      </c>
      <c r="BH32" s="5">
        <f>IF(OR(BF32=0,BG32=""),"",BG32/BF32)</f>
        <v/>
      </c>
      <c r="BI32" s="5" t="n">
        <v>146.1</v>
      </c>
      <c r="BJ32" s="8" t="n">
        <v>24.186</v>
      </c>
      <c r="BK32" s="5" t="n">
        <v>0.144</v>
      </c>
      <c r="BL32" s="4" t="n">
        <v>5.58</v>
      </c>
      <c r="BM32" s="5">
        <f>IF(OR(BK32=0,BL32=""),"",BL32/BK32)</f>
        <v/>
      </c>
      <c r="BN32" s="5" t="n">
        <v>56.56</v>
      </c>
      <c r="BO32" s="8" t="n">
        <v>316.186</v>
      </c>
      <c r="BP32" s="5" t="n">
        <v>15.14</v>
      </c>
      <c r="BQ32" s="4" t="n">
        <v>251.44</v>
      </c>
      <c r="BR32" s="5">
        <f>IF(OR(BP32=0,BQ32=""),"",BQ32/BP32)</f>
        <v/>
      </c>
      <c r="BS32" s="5" t="n">
        <v>1235.35</v>
      </c>
    </row>
    <row r="33" ht="11.1" customHeight="1">
      <c r="A33" s="3" t="inlineStr">
        <is>
          <t>Магазин37 (просп.Повітряних Сил, буд.19-А/1)</t>
        </is>
      </c>
      <c r="B33" s="4" t="n">
        <v>1.238</v>
      </c>
      <c r="C33" s="4" t="n">
        <v>3.286</v>
      </c>
      <c r="D33" s="4" t="n">
        <v>3.252</v>
      </c>
      <c r="E33" s="5">
        <f>IF(OR(C33=0,D33=""),"",D33/C33)</f>
        <v/>
      </c>
      <c r="F33" s="5" t="n">
        <v>818.22</v>
      </c>
      <c r="G33" s="4" t="n"/>
      <c r="H33" s="4" t="n"/>
      <c r="I33" s="4" t="n">
        <v>4.33</v>
      </c>
      <c r="J33" s="5">
        <f>IF(OR(H33=0,I33=""),"",I33/H33)</f>
        <v/>
      </c>
      <c r="K33" s="5" t="n"/>
      <c r="L33" s="4" t="n">
        <v>10</v>
      </c>
      <c r="M33" s="4" t="n">
        <v>1</v>
      </c>
      <c r="N33" s="4" t="n">
        <v>55</v>
      </c>
      <c r="O33" s="5">
        <f>IF(OR(M33=0,N33=""),"",N33/M33)</f>
        <v/>
      </c>
      <c r="P33" s="5" t="n">
        <v>105.7</v>
      </c>
      <c r="Q33" s="4" t="n">
        <v>176</v>
      </c>
      <c r="R33" s="4" t="n">
        <v>6</v>
      </c>
      <c r="S33" s="4" t="n">
        <v>210</v>
      </c>
      <c r="T33" s="5">
        <f>IF(OR(R33=0,S33=""),"",S33/R33)</f>
        <v/>
      </c>
      <c r="U33" s="5" t="n">
        <v>397.8</v>
      </c>
      <c r="V33" s="4" t="n">
        <v>85</v>
      </c>
      <c r="W33" s="4" t="n">
        <v>3</v>
      </c>
      <c r="X33" s="4" t="n">
        <v>12</v>
      </c>
      <c r="Y33" s="5">
        <f>IF(OR(W33=0,X33=""),"",X33/W33)</f>
        <v/>
      </c>
      <c r="Z33" s="5" t="n">
        <v>98.7</v>
      </c>
      <c r="AA33" s="4" t="n">
        <v>33</v>
      </c>
      <c r="AB33" s="4" t="n">
        <v>5</v>
      </c>
      <c r="AC33" s="4" t="n">
        <v>32</v>
      </c>
      <c r="AD33" s="5">
        <f>IF(OR(AB33=0,AC33=""),"",AC33/AB33)</f>
        <v/>
      </c>
      <c r="AE33" s="5" t="n">
        <v>473.5</v>
      </c>
      <c r="AF33" s="4" t="n">
        <v>21</v>
      </c>
      <c r="AG33" s="4" t="n">
        <v>6</v>
      </c>
      <c r="AH33" s="4" t="n">
        <v>19</v>
      </c>
      <c r="AI33" s="5">
        <f>IF(OR(AG33=0,AH33=""),"",AH33/AG33)</f>
        <v/>
      </c>
      <c r="AJ33" s="5" t="n">
        <v>459.6</v>
      </c>
      <c r="AK33" s="4" t="n"/>
      <c r="AL33" s="4" t="n"/>
      <c r="AM33" s="4" t="n">
        <v>80</v>
      </c>
      <c r="AN33" s="5">
        <f>IF(OR(AL33=0,AM33=""),"",AM33/AL33)</f>
        <v/>
      </c>
      <c r="AO33" s="5" t="n"/>
      <c r="AP33" s="4" t="n"/>
      <c r="AQ33" s="4" t="n">
        <v>2.126</v>
      </c>
      <c r="AR33" s="4" t="n">
        <v>5.44</v>
      </c>
      <c r="AS33" s="5">
        <f>IF(OR(AQ33=0,AR33=""),"",AR33/AQ33)</f>
        <v/>
      </c>
      <c r="AT33" s="5" t="n">
        <v>635.67</v>
      </c>
      <c r="AU33" s="4" t="n">
        <v>60</v>
      </c>
      <c r="AV33" s="4" t="n">
        <v>3</v>
      </c>
      <c r="AW33" s="4" t="n">
        <v>58</v>
      </c>
      <c r="AX33" s="5">
        <f>IF(OR(AV33=0,AW33=""),"",AW33/AV33)</f>
        <v/>
      </c>
      <c r="AY33" s="5" t="n">
        <v>284.1</v>
      </c>
      <c r="AZ33" s="4" t="n"/>
      <c r="BA33" s="4" t="n">
        <v>4</v>
      </c>
      <c r="BB33" s="4" t="n">
        <v>41</v>
      </c>
      <c r="BC33" s="5">
        <f>IF(OR(BA33=0,BB33=""),"",BB33/BA33)</f>
        <v/>
      </c>
      <c r="BD33" s="5" t="n">
        <v>378.8</v>
      </c>
      <c r="BE33" s="4" t="n">
        <v>0.55</v>
      </c>
      <c r="BF33" s="4" t="n">
        <v>4.436</v>
      </c>
      <c r="BG33" s="4" t="n">
        <v>25.108</v>
      </c>
      <c r="BH33" s="5">
        <f>IF(OR(BF33=0,BG33=""),"",BG33/BF33)</f>
        <v/>
      </c>
      <c r="BI33" s="5" t="n">
        <v>1679.03</v>
      </c>
      <c r="BJ33" s="4" t="n">
        <v>123.21</v>
      </c>
      <c r="BK33" s="4" t="n">
        <v>1.006</v>
      </c>
      <c r="BL33" s="4" t="n">
        <v>46.388</v>
      </c>
      <c r="BM33" s="5">
        <f>IF(OR(BK33=0,BL33=""),"",BL33/BK33)</f>
        <v/>
      </c>
      <c r="BN33" s="5" t="n">
        <v>395.15</v>
      </c>
      <c r="BO33" s="4" t="n">
        <v>509.998</v>
      </c>
      <c r="BP33" s="4" t="n">
        <v>38.85</v>
      </c>
      <c r="BQ33" s="4" t="n">
        <v>591.52</v>
      </c>
      <c r="BR33" s="5">
        <f>IF(OR(BP33=0,BQ33=""),"",BQ33/BP33)</f>
        <v/>
      </c>
      <c r="BS33" s="5" t="n">
        <v>5726.27</v>
      </c>
    </row>
    <row r="34" ht="11.1" customHeight="1">
      <c r="A34" s="3" t="inlineStr">
        <is>
          <t>Магазин38 (м.Чернігів, вул.Всіхсвятська, буд 5)</t>
        </is>
      </c>
      <c r="B34" s="4" t="n">
        <v>0.136</v>
      </c>
      <c r="C34" s="4" t="n">
        <v>2.764</v>
      </c>
      <c r="D34" s="4" t="n">
        <v>4.25</v>
      </c>
      <c r="E34" s="5">
        <f>IF(OR(C34=0,D34=""),"",D34/C34)</f>
        <v/>
      </c>
      <c r="F34" s="5" t="n">
        <v>688.23</v>
      </c>
      <c r="G34" s="4" t="n"/>
      <c r="H34" s="4" t="n"/>
      <c r="I34" s="4" t="n"/>
      <c r="J34" s="5">
        <f>IF(OR(H34=0,I34=""),"",I34/H34)</f>
        <v/>
      </c>
      <c r="K34" s="5" t="n"/>
      <c r="L34" s="4" t="n">
        <v>8</v>
      </c>
      <c r="M34" s="4" t="n"/>
      <c r="N34" s="4" t="n">
        <v>8</v>
      </c>
      <c r="O34" s="5">
        <f>IF(OR(M34=0,N34=""),"",N34/M34)</f>
        <v/>
      </c>
      <c r="P34" s="5" t="n"/>
      <c r="Q34" s="4" t="n">
        <v>8</v>
      </c>
      <c r="R34" s="4" t="n">
        <v>4</v>
      </c>
      <c r="S34" s="4" t="n">
        <v>95</v>
      </c>
      <c r="T34" s="5">
        <f>IF(OR(R34=0,S34=""),"",S34/R34)</f>
        <v/>
      </c>
      <c r="U34" s="5" t="n">
        <v>250.4</v>
      </c>
      <c r="V34" s="4" t="n">
        <v>95</v>
      </c>
      <c r="W34" s="4" t="n">
        <v>2</v>
      </c>
      <c r="X34" s="4" t="n">
        <v>26</v>
      </c>
      <c r="Y34" s="5">
        <f>IF(OR(W34=0,X34=""),"",X34/W34)</f>
        <v/>
      </c>
      <c r="Z34" s="5" t="n">
        <v>65.8</v>
      </c>
      <c r="AA34" s="4" t="n">
        <v>39</v>
      </c>
      <c r="AB34" s="4" t="n">
        <v>2</v>
      </c>
      <c r="AC34" s="4" t="n">
        <v>17</v>
      </c>
      <c r="AD34" s="5">
        <f>IF(OR(AB34=0,AC34=""),"",AC34/AB34)</f>
        <v/>
      </c>
      <c r="AE34" s="5" t="n">
        <v>183.4</v>
      </c>
      <c r="AF34" s="4" t="n">
        <v>9</v>
      </c>
      <c r="AG34" s="4" t="n">
        <v>3</v>
      </c>
      <c r="AH34" s="4" t="n">
        <v>9</v>
      </c>
      <c r="AI34" s="5">
        <f>IF(OR(AG34=0,AH34=""),"",AH34/AG34)</f>
        <v/>
      </c>
      <c r="AJ34" s="5" t="n">
        <v>229.8</v>
      </c>
      <c r="AK34" s="4" t="n"/>
      <c r="AL34" s="4" t="n">
        <v>15</v>
      </c>
      <c r="AM34" s="4" t="n">
        <v>179</v>
      </c>
      <c r="AN34" s="5">
        <f>IF(OR(AL34=0,AM34=""),"",AM34/AL34)</f>
        <v/>
      </c>
      <c r="AO34" s="5" t="n">
        <v>345</v>
      </c>
      <c r="AP34" s="4" t="n">
        <v>2.252</v>
      </c>
      <c r="AQ34" s="4" t="n"/>
      <c r="AR34" s="4" t="n">
        <v>5.248</v>
      </c>
      <c r="AS34" s="5">
        <f>IF(OR(AQ34=0,AR34=""),"",AR34/AQ34)</f>
        <v/>
      </c>
      <c r="AT34" s="5" t="n"/>
      <c r="AU34" s="4" t="n">
        <v>13</v>
      </c>
      <c r="AV34" s="4" t="n"/>
      <c r="AW34" s="4" t="n">
        <v>12</v>
      </c>
      <c r="AX34" s="5">
        <f>IF(OR(AV34=0,AW34=""),"",AW34/AV34)</f>
        <v/>
      </c>
      <c r="AY34" s="5" t="n"/>
      <c r="AZ34" s="4" t="n">
        <v>45</v>
      </c>
      <c r="BA34" s="4" t="n"/>
      <c r="BB34" s="4" t="n">
        <v>36</v>
      </c>
      <c r="BC34" s="5">
        <f>IF(OR(BA34=0,BB34=""),"",BB34/BA34)</f>
        <v/>
      </c>
      <c r="BD34" s="5" t="n"/>
      <c r="BE34" s="4" t="n"/>
      <c r="BF34" s="4" t="n"/>
      <c r="BG34" s="4" t="n"/>
      <c r="BH34" s="5">
        <f>IF(OR(BF34=0,BG34=""),"",BG34/BF34)</f>
        <v/>
      </c>
      <c r="BI34" s="5" t="n"/>
      <c r="BJ34" s="4" t="n">
        <v>33.048</v>
      </c>
      <c r="BK34" s="4" t="n"/>
      <c r="BL34" s="4" t="n">
        <v>34.422</v>
      </c>
      <c r="BM34" s="5">
        <f>IF(OR(BK34=0,BL34=""),"",BL34/BK34)</f>
        <v/>
      </c>
      <c r="BN34" s="5" t="n"/>
      <c r="BO34" s="4" t="n">
        <v>252.436</v>
      </c>
      <c r="BP34" s="4" t="n">
        <v>28.76</v>
      </c>
      <c r="BQ34" s="4" t="n">
        <v>425.92</v>
      </c>
      <c r="BR34" s="5">
        <f>IF(OR(BP34=0,BQ34=""),"",BQ34/BP34)</f>
        <v/>
      </c>
      <c r="BS34" s="5" t="n">
        <v>1762.63</v>
      </c>
    </row>
    <row r="35" ht="11.1" customHeight="1">
      <c r="A35" s="3" t="inlineStr">
        <is>
          <t>Магазин4/1 (смт.Коцюбинське,вул.Пономарьова,28а)</t>
        </is>
      </c>
      <c r="B35" s="8" t="n"/>
      <c r="C35" s="4" t="n">
        <v>1.054</v>
      </c>
      <c r="D35" s="4" t="n">
        <v>1.502</v>
      </c>
      <c r="E35" s="5">
        <f>IF(OR(C35=0,D35=""),"",D35/C35)</f>
        <v/>
      </c>
      <c r="F35" s="5" t="n">
        <v>262.45</v>
      </c>
      <c r="G35" s="8" t="n">
        <v>0.6919999999999999</v>
      </c>
      <c r="H35" s="4" t="n">
        <v>2.808</v>
      </c>
      <c r="I35" s="4" t="n">
        <v>2.17</v>
      </c>
      <c r="J35" s="5">
        <f>IF(OR(H35=0,I35=""),"",I35/H35)</f>
        <v/>
      </c>
      <c r="K35" s="5" t="n">
        <v>1092.3</v>
      </c>
      <c r="L35" s="8" t="n">
        <v>14</v>
      </c>
      <c r="M35" s="4" t="n"/>
      <c r="N35" s="4" t="n">
        <v>12</v>
      </c>
      <c r="O35" s="5">
        <f>IF(OR(M35=0,N35=""),"",N35/M35)</f>
        <v/>
      </c>
      <c r="P35" s="5" t="n"/>
      <c r="Q35" s="8" t="n">
        <v>50</v>
      </c>
      <c r="R35" s="4" t="n"/>
      <c r="S35" s="4" t="n">
        <v>62</v>
      </c>
      <c r="T35" s="5">
        <f>IF(OR(R35=0,S35=""),"",S35/R35)</f>
        <v/>
      </c>
      <c r="U35" s="5" t="n"/>
      <c r="V35" s="8" t="n">
        <v>28</v>
      </c>
      <c r="W35" s="4" t="n">
        <v>1</v>
      </c>
      <c r="X35" s="4" t="n">
        <v>12</v>
      </c>
      <c r="Y35" s="5">
        <f>IF(OR(W35=0,X35=""),"",X35/W35)</f>
        <v/>
      </c>
      <c r="Z35" s="5" t="n">
        <v>32.9</v>
      </c>
      <c r="AA35" s="8" t="n">
        <v>22</v>
      </c>
      <c r="AB35" s="4" t="n"/>
      <c r="AC35" s="4" t="n">
        <v>13</v>
      </c>
      <c r="AD35" s="5">
        <f>IF(OR(AB35=0,AC35=""),"",AC35/AB35)</f>
        <v/>
      </c>
      <c r="AE35" s="5" t="n"/>
      <c r="AF35" s="8" t="n">
        <v>15</v>
      </c>
      <c r="AG35" s="4" t="n">
        <v>1</v>
      </c>
      <c r="AH35" s="4" t="n">
        <v>14</v>
      </c>
      <c r="AI35" s="5">
        <f>IF(OR(AG35=0,AH35=""),"",AH35/AG35)</f>
        <v/>
      </c>
      <c r="AJ35" s="5" t="n">
        <v>76.59999999999999</v>
      </c>
      <c r="AK35" s="8" t="n">
        <v>3</v>
      </c>
      <c r="AL35" s="4" t="n">
        <v>15</v>
      </c>
      <c r="AM35" s="4" t="n">
        <v>31</v>
      </c>
      <c r="AN35" s="5">
        <f>IF(OR(AL35=0,AM35=""),"",AM35/AL35)</f>
        <v/>
      </c>
      <c r="AO35" s="5" t="n">
        <v>375</v>
      </c>
      <c r="AP35" s="8" t="n"/>
      <c r="AQ35" s="4" t="n"/>
      <c r="AR35" s="4" t="n">
        <v>3.21</v>
      </c>
      <c r="AS35" s="5">
        <f>IF(OR(AQ35=0,AR35=""),"",AR35/AQ35)</f>
        <v/>
      </c>
      <c r="AT35" s="5" t="n"/>
      <c r="AU35" s="8" t="n">
        <v>38</v>
      </c>
      <c r="AV35" s="4" t="n">
        <v>1</v>
      </c>
      <c r="AW35" s="4" t="n">
        <v>17</v>
      </c>
      <c r="AX35" s="5">
        <f>IF(OR(AV35=0,AW35=""),"",AW35/AV35)</f>
        <v/>
      </c>
      <c r="AY35" s="5" t="n">
        <v>94.7</v>
      </c>
      <c r="AZ35" s="8" t="n">
        <v>28</v>
      </c>
      <c r="BA35" s="4" t="n"/>
      <c r="BB35" s="4" t="n">
        <v>18</v>
      </c>
      <c r="BC35" s="5">
        <f>IF(OR(BA35=0,BB35=""),"",BB35/BA35)</f>
        <v/>
      </c>
      <c r="BD35" s="5" t="n"/>
      <c r="BE35" s="8" t="n">
        <v>0.338</v>
      </c>
      <c r="BF35" s="4" t="n">
        <v>0.946</v>
      </c>
      <c r="BG35" s="4" t="n">
        <v>3.108</v>
      </c>
      <c r="BH35" s="5">
        <f>IF(OR(BF35=0,BG35=""),"",BG35/BF35)</f>
        <v/>
      </c>
      <c r="BI35" s="5" t="n">
        <v>358.06</v>
      </c>
      <c r="BJ35" s="8" t="n">
        <v>27.124</v>
      </c>
      <c r="BK35" s="4" t="n">
        <v>0.144</v>
      </c>
      <c r="BL35" s="4" t="n">
        <v>1.582</v>
      </c>
      <c r="BM35" s="5">
        <f>IF(OR(BK35=0,BL35=""),"",BL35/BK35)</f>
        <v/>
      </c>
      <c r="BN35" s="5" t="n">
        <v>56.56</v>
      </c>
      <c r="BO35" s="8" t="n">
        <v>226.154</v>
      </c>
      <c r="BP35" s="4" t="n">
        <v>22.95</v>
      </c>
      <c r="BQ35" s="4" t="n">
        <v>190.57</v>
      </c>
      <c r="BR35" s="5">
        <f>IF(OR(BP35=0,BQ35=""),"",BQ35/BP35)</f>
        <v/>
      </c>
      <c r="BS35" s="5" t="n">
        <v>2348.57</v>
      </c>
    </row>
    <row r="36" ht="11.1" customHeight="1">
      <c r="A36" s="3" t="inlineStr">
        <is>
          <t>Магазин40 (м.Біла Церква, вул.Митрофанова, буд.8, прим.1)</t>
        </is>
      </c>
      <c r="B36" s="4" t="n">
        <v>0.004</v>
      </c>
      <c r="C36" s="4" t="n">
        <v>1.134</v>
      </c>
      <c r="D36" s="4" t="n">
        <v>1.87</v>
      </c>
      <c r="E36" s="5">
        <f>IF(OR(C36=0,D36=""),"",D36/C36)</f>
        <v/>
      </c>
      <c r="F36" s="5" t="n">
        <v>282.36</v>
      </c>
      <c r="G36" s="4" t="n"/>
      <c r="H36" s="4" t="n"/>
      <c r="I36" s="4" t="n"/>
      <c r="J36" s="5">
        <f>IF(OR(H36=0,I36=""),"",I36/H36)</f>
        <v/>
      </c>
      <c r="K36" s="5" t="n"/>
      <c r="L36" s="4" t="n">
        <v>7</v>
      </c>
      <c r="M36" s="4" t="n"/>
      <c r="N36" s="4" t="n">
        <v>50</v>
      </c>
      <c r="O36" s="5">
        <f>IF(OR(M36=0,N36=""),"",N36/M36)</f>
        <v/>
      </c>
      <c r="P36" s="5" t="n"/>
      <c r="Q36" s="4" t="n">
        <v>2</v>
      </c>
      <c r="R36" s="4" t="n">
        <v>4</v>
      </c>
      <c r="S36" s="4" t="n">
        <v>93</v>
      </c>
      <c r="T36" s="5">
        <f>IF(OR(R36=0,S36=""),"",S36/R36)</f>
        <v/>
      </c>
      <c r="U36" s="5" t="n">
        <v>250.4</v>
      </c>
      <c r="V36" s="4" t="n">
        <v>123</v>
      </c>
      <c r="W36" s="4" t="n">
        <v>2</v>
      </c>
      <c r="X36" s="4" t="n">
        <v>18</v>
      </c>
      <c r="Y36" s="5">
        <f>IF(OR(W36=0,X36=""),"",X36/W36)</f>
        <v/>
      </c>
      <c r="Z36" s="5" t="n">
        <v>65.8</v>
      </c>
      <c r="AA36" s="4" t="n">
        <v>24</v>
      </c>
      <c r="AB36" s="4" t="n">
        <v>3</v>
      </c>
      <c r="AC36" s="4" t="n">
        <v>19</v>
      </c>
      <c r="AD36" s="5">
        <f>IF(OR(AB36=0,AC36=""),"",AC36/AB36)</f>
        <v/>
      </c>
      <c r="AE36" s="5" t="n">
        <v>275.1</v>
      </c>
      <c r="AF36" s="4" t="n">
        <v>17</v>
      </c>
      <c r="AG36" s="4" t="n">
        <v>1</v>
      </c>
      <c r="AH36" s="4" t="n">
        <v>16</v>
      </c>
      <c r="AI36" s="5">
        <f>IF(OR(AG36=0,AH36=""),"",AH36/AG36)</f>
        <v/>
      </c>
      <c r="AJ36" s="5" t="n">
        <v>76.59999999999999</v>
      </c>
      <c r="AK36" s="4" t="n"/>
      <c r="AL36" s="4" t="n">
        <v>30</v>
      </c>
      <c r="AM36" s="4" t="n">
        <v>234</v>
      </c>
      <c r="AN36" s="5">
        <f>IF(OR(AL36=0,AM36=""),"",AM36/AL36)</f>
        <v/>
      </c>
      <c r="AO36" s="5" t="n">
        <v>690</v>
      </c>
      <c r="AP36" s="4" t="n">
        <v>0.004</v>
      </c>
      <c r="AQ36" s="4" t="n"/>
      <c r="AR36" s="4" t="n">
        <v>1.556</v>
      </c>
      <c r="AS36" s="5">
        <f>IF(OR(AQ36=0,AR36=""),"",AR36/AQ36)</f>
        <v/>
      </c>
      <c r="AT36" s="5" t="n"/>
      <c r="AU36" s="4" t="n">
        <v>46</v>
      </c>
      <c r="AV36" s="4" t="n">
        <v>1</v>
      </c>
      <c r="AW36" s="4" t="n">
        <v>14</v>
      </c>
      <c r="AX36" s="5">
        <f>IF(OR(AV36=0,AW36=""),"",AW36/AV36)</f>
        <v/>
      </c>
      <c r="AY36" s="5" t="n">
        <v>91.7</v>
      </c>
      <c r="AZ36" s="4" t="n">
        <v>50</v>
      </c>
      <c r="BA36" s="4" t="n">
        <v>6</v>
      </c>
      <c r="BB36" s="4" t="n">
        <v>58</v>
      </c>
      <c r="BC36" s="5">
        <f>IF(OR(BA36=0,BB36=""),"",BB36/BA36)</f>
        <v/>
      </c>
      <c r="BD36" s="5" t="n">
        <v>549.6</v>
      </c>
      <c r="BE36" s="4" t="n">
        <v>0.45</v>
      </c>
      <c r="BF36" s="4" t="n">
        <v>0.492</v>
      </c>
      <c r="BG36" s="4" t="n">
        <v>5.858</v>
      </c>
      <c r="BH36" s="5">
        <f>IF(OR(BF36=0,BG36=""),"",BG36/BF36)</f>
        <v/>
      </c>
      <c r="BI36" s="5" t="n">
        <v>186.22</v>
      </c>
      <c r="BJ36" s="4" t="n">
        <v>11.234</v>
      </c>
      <c r="BK36" s="4" t="n">
        <v>0.788</v>
      </c>
      <c r="BL36" s="4" t="n">
        <v>11.678</v>
      </c>
      <c r="BM36" s="5">
        <f>IF(OR(BK36=0,BL36=""),"",BL36/BK36)</f>
        <v/>
      </c>
      <c r="BN36" s="5" t="n">
        <v>297.62</v>
      </c>
      <c r="BO36" s="4" t="n">
        <v>280.692</v>
      </c>
      <c r="BP36" s="4" t="n">
        <v>49.41</v>
      </c>
      <c r="BQ36" s="4" t="n">
        <v>522.96</v>
      </c>
      <c r="BR36" s="5">
        <f>IF(OR(BP36=0,BQ36=""),"",BQ36/BP36)</f>
        <v/>
      </c>
      <c r="BS36" s="5" t="n">
        <v>2765.4</v>
      </c>
    </row>
    <row r="37" ht="11.1" customHeight="1">
      <c r="A37" s="3" t="inlineStr">
        <is>
          <t>Магазин41 (м. Біла Церква, Сквирське шосе, буд.223)</t>
        </is>
      </c>
      <c r="B37" s="4" t="n">
        <v>1.922</v>
      </c>
      <c r="C37" s="4" t="n">
        <v>2.514</v>
      </c>
      <c r="D37" s="4" t="n">
        <v>1.36</v>
      </c>
      <c r="E37" s="5">
        <f>IF(OR(C37=0,D37=""),"",D37/C37)</f>
        <v/>
      </c>
      <c r="F37" s="5" t="n">
        <v>625.98</v>
      </c>
      <c r="G37" s="4" t="n">
        <v>2.79</v>
      </c>
      <c r="H37" s="4" t="n"/>
      <c r="I37" s="4" t="n">
        <v>1.752</v>
      </c>
      <c r="J37" s="5">
        <f>IF(OR(H37=0,I37=""),"",I37/H37)</f>
        <v/>
      </c>
      <c r="K37" s="5" t="n"/>
      <c r="L37" s="4" t="n">
        <v>13</v>
      </c>
      <c r="M37" s="4" t="n"/>
      <c r="N37" s="4" t="n">
        <v>6</v>
      </c>
      <c r="O37" s="5">
        <f>IF(OR(M37=0,N37=""),"",N37/M37)</f>
        <v/>
      </c>
      <c r="P37" s="5" t="n"/>
      <c r="Q37" s="4" t="n">
        <v>15</v>
      </c>
      <c r="R37" s="4" t="n"/>
      <c r="S37" s="4" t="n">
        <v>17</v>
      </c>
      <c r="T37" s="5">
        <f>IF(OR(R37=0,S37=""),"",S37/R37)</f>
        <v/>
      </c>
      <c r="U37" s="5" t="n"/>
      <c r="V37" s="4" t="n">
        <v>46</v>
      </c>
      <c r="W37" s="4" t="n">
        <v>1</v>
      </c>
      <c r="X37" s="4" t="n">
        <v>11</v>
      </c>
      <c r="Y37" s="5">
        <f>IF(OR(W37=0,X37=""),"",X37/W37)</f>
        <v/>
      </c>
      <c r="Z37" s="5" t="n">
        <v>32.9</v>
      </c>
      <c r="AA37" s="4" t="n">
        <v>32</v>
      </c>
      <c r="AB37" s="4" t="n">
        <v>1</v>
      </c>
      <c r="AC37" s="4" t="n">
        <v>9</v>
      </c>
      <c r="AD37" s="5">
        <f>IF(OR(AB37=0,AC37=""),"",AC37/AB37)</f>
        <v/>
      </c>
      <c r="AE37" s="5" t="n">
        <v>91.7</v>
      </c>
      <c r="AF37" s="4" t="n">
        <v>20</v>
      </c>
      <c r="AG37" s="4" t="n">
        <v>1</v>
      </c>
      <c r="AH37" s="4" t="n">
        <v>6</v>
      </c>
      <c r="AI37" s="5">
        <f>IF(OR(AG37=0,AH37=""),"",AH37/AG37)</f>
        <v/>
      </c>
      <c r="AJ37" s="5" t="n">
        <v>76.59999999999999</v>
      </c>
      <c r="AK37" s="4" t="n">
        <v>2</v>
      </c>
      <c r="AL37" s="4" t="n">
        <v>11</v>
      </c>
      <c r="AM37" s="4" t="n">
        <v>24</v>
      </c>
      <c r="AN37" s="5">
        <f>IF(OR(AL37=0,AM37=""),"",AM37/AL37)</f>
        <v/>
      </c>
      <c r="AO37" s="5" t="n">
        <v>253</v>
      </c>
      <c r="AP37" s="4" t="n"/>
      <c r="AQ37" s="4" t="n"/>
      <c r="AR37" s="4" t="n"/>
      <c r="AS37" s="5">
        <f>IF(OR(AQ37=0,AR37=""),"",AR37/AQ37)</f>
        <v/>
      </c>
      <c r="AT37" s="5" t="n"/>
      <c r="AU37" s="4" t="n">
        <v>40</v>
      </c>
      <c r="AV37" s="4" t="n">
        <v>1</v>
      </c>
      <c r="AW37" s="4" t="n">
        <v>4</v>
      </c>
      <c r="AX37" s="5">
        <f>IF(OR(AV37=0,AW37=""),"",AW37/AV37)</f>
        <v/>
      </c>
      <c r="AY37" s="5" t="n">
        <v>91.7</v>
      </c>
      <c r="AZ37" s="4" t="n">
        <v>24</v>
      </c>
      <c r="BA37" s="4" t="n">
        <v>1</v>
      </c>
      <c r="BB37" s="4" t="n">
        <v>11</v>
      </c>
      <c r="BC37" s="5">
        <f>IF(OR(BA37=0,BB37=""),"",BB37/BA37)</f>
        <v/>
      </c>
      <c r="BD37" s="5" t="n">
        <v>91.59999999999999</v>
      </c>
      <c r="BE37" s="4" t="n">
        <v>0.412</v>
      </c>
      <c r="BF37" s="4" t="n"/>
      <c r="BG37" s="4" t="n">
        <v>3.038</v>
      </c>
      <c r="BH37" s="5">
        <f>IF(OR(BF37=0,BG37=""),"",BG37/BF37)</f>
        <v/>
      </c>
      <c r="BI37" s="5" t="n"/>
      <c r="BJ37" s="4" t="n">
        <v>14.322</v>
      </c>
      <c r="BK37" s="4" t="n">
        <v>0.212</v>
      </c>
      <c r="BL37" s="4" t="n">
        <v>2.836</v>
      </c>
      <c r="BM37" s="5">
        <f>IF(OR(BK37=0,BL37=""),"",BL37/BK37)</f>
        <v/>
      </c>
      <c r="BN37" s="5" t="n">
        <v>80.06999999999999</v>
      </c>
      <c r="BO37" s="4" t="n">
        <v>211.446</v>
      </c>
      <c r="BP37" s="4" t="n">
        <v>18.73</v>
      </c>
      <c r="BQ37" s="4" t="n">
        <v>96.98999999999999</v>
      </c>
      <c r="BR37" s="5">
        <f>IF(OR(BP37=0,BQ37=""),"",BQ37/BP37)</f>
        <v/>
      </c>
      <c r="BS37" s="5" t="n">
        <v>1343.55</v>
      </c>
    </row>
    <row r="38" ht="11.1" customHeight="1">
      <c r="A38" s="3" t="inlineStr">
        <is>
          <t>Магазин42 (с.Гора, вул.Центральна, буд.20-А)</t>
        </is>
      </c>
      <c r="B38" s="4" t="n">
        <v>0.214</v>
      </c>
      <c r="C38" s="4" t="n">
        <v>2.794</v>
      </c>
      <c r="D38" s="4" t="n">
        <v>4.352</v>
      </c>
      <c r="E38" s="5">
        <f>IF(OR(C38=0,D38=""),"",D38/C38)</f>
        <v/>
      </c>
      <c r="F38" s="5" t="n">
        <v>695.71</v>
      </c>
      <c r="G38" s="4" t="n"/>
      <c r="H38" s="4" t="n">
        <v>0.056</v>
      </c>
      <c r="I38" s="4" t="n">
        <v>1.44</v>
      </c>
      <c r="J38" s="5">
        <f>IF(OR(H38=0,I38=""),"",I38/H38)</f>
        <v/>
      </c>
      <c r="K38" s="5" t="n">
        <v>21.78</v>
      </c>
      <c r="L38" s="4" t="n">
        <v>10</v>
      </c>
      <c r="M38" s="4" t="n">
        <v>1</v>
      </c>
      <c r="N38" s="4" t="n">
        <v>30</v>
      </c>
      <c r="O38" s="5">
        <f>IF(OR(M38=0,N38=""),"",N38/M38)</f>
        <v/>
      </c>
      <c r="P38" s="5" t="n">
        <v>105.7</v>
      </c>
      <c r="Q38" s="4" t="n">
        <v>80</v>
      </c>
      <c r="R38" s="4" t="n">
        <v>2</v>
      </c>
      <c r="S38" s="4" t="n">
        <v>80</v>
      </c>
      <c r="T38" s="5">
        <f>IF(OR(R38=0,S38=""),"",S38/R38)</f>
        <v/>
      </c>
      <c r="U38" s="5" t="n">
        <v>132.6</v>
      </c>
      <c r="V38" s="4" t="n">
        <v>117</v>
      </c>
      <c r="W38" s="4" t="n">
        <v>4</v>
      </c>
      <c r="X38" s="4" t="n">
        <v>14</v>
      </c>
      <c r="Y38" s="5">
        <f>IF(OR(W38=0,X38=""),"",X38/W38)</f>
        <v/>
      </c>
      <c r="Z38" s="5" t="n">
        <v>131.6</v>
      </c>
      <c r="AA38" s="4" t="n">
        <v>46</v>
      </c>
      <c r="AB38" s="4" t="n"/>
      <c r="AC38" s="4" t="n">
        <v>16</v>
      </c>
      <c r="AD38" s="5">
        <f>IF(OR(AB38=0,AC38=""),"",AC38/AB38)</f>
        <v/>
      </c>
      <c r="AE38" s="5" t="n"/>
      <c r="AF38" s="4" t="n">
        <v>17</v>
      </c>
      <c r="AG38" s="4" t="n">
        <v>3</v>
      </c>
      <c r="AH38" s="4" t="n">
        <v>16</v>
      </c>
      <c r="AI38" s="5">
        <f>IF(OR(AG38=0,AH38=""),"",AH38/AG38)</f>
        <v/>
      </c>
      <c r="AJ38" s="5" t="n">
        <v>229.8</v>
      </c>
      <c r="AK38" s="4" t="n"/>
      <c r="AL38" s="4" t="n">
        <v>27</v>
      </c>
      <c r="AM38" s="4" t="n">
        <v>101</v>
      </c>
      <c r="AN38" s="5">
        <f>IF(OR(AL38=0,AM38=""),"",AM38/AL38)</f>
        <v/>
      </c>
      <c r="AO38" s="5" t="n">
        <v>675</v>
      </c>
      <c r="AP38" s="4" t="n">
        <v>0.214</v>
      </c>
      <c r="AQ38" s="4" t="n">
        <v>0.39</v>
      </c>
      <c r="AR38" s="4" t="n">
        <v>3.156</v>
      </c>
      <c r="AS38" s="5">
        <f>IF(OR(AQ38=0,AR38=""),"",AR38/AQ38)</f>
        <v/>
      </c>
      <c r="AT38" s="5" t="n">
        <v>116.61</v>
      </c>
      <c r="AU38" s="4" t="n">
        <v>39</v>
      </c>
      <c r="AV38" s="4" t="n">
        <v>1</v>
      </c>
      <c r="AW38" s="4" t="n">
        <v>17</v>
      </c>
      <c r="AX38" s="5">
        <f>IF(OR(AV38=0,AW38=""),"",AW38/AV38)</f>
        <v/>
      </c>
      <c r="AY38" s="5" t="n">
        <v>94.7</v>
      </c>
      <c r="AZ38" s="4" t="n"/>
      <c r="BA38" s="4" t="n">
        <v>1</v>
      </c>
      <c r="BB38" s="4" t="n">
        <v>13</v>
      </c>
      <c r="BC38" s="5">
        <f>IF(OR(BA38=0,BB38=""),"",BB38/BA38)</f>
        <v/>
      </c>
      <c r="BD38" s="5" t="n">
        <v>94.7</v>
      </c>
      <c r="BE38" s="4" t="n">
        <v>0.004</v>
      </c>
      <c r="BF38" s="4" t="n">
        <v>4.958</v>
      </c>
      <c r="BG38" s="4" t="n">
        <v>17.968</v>
      </c>
      <c r="BH38" s="5">
        <f>IF(OR(BF38=0,BG38=""),"",BG38/BF38)</f>
        <v/>
      </c>
      <c r="BI38" s="5" t="n">
        <v>1876.59</v>
      </c>
      <c r="BJ38" s="4" t="n">
        <v>32.424</v>
      </c>
      <c r="BK38" s="4" t="n">
        <v>0.98</v>
      </c>
      <c r="BL38" s="4" t="n">
        <v>9.504</v>
      </c>
      <c r="BM38" s="5">
        <f>IF(OR(BK38=0,BL38=""),"",BL38/BK38)</f>
        <v/>
      </c>
      <c r="BN38" s="5" t="n">
        <v>384.95</v>
      </c>
      <c r="BO38" s="4" t="n">
        <v>341.856</v>
      </c>
      <c r="BP38" s="4" t="n">
        <v>48.18</v>
      </c>
      <c r="BQ38" s="4" t="n">
        <v>323.42</v>
      </c>
      <c r="BR38" s="5">
        <f>IF(OR(BP38=0,BQ38=""),"",BQ38/BP38)</f>
        <v/>
      </c>
      <c r="BS38" s="5" t="n">
        <v>4559.74</v>
      </c>
    </row>
    <row r="39" ht="11.1" customHeight="1">
      <c r="A39" s="3" t="inlineStr">
        <is>
          <t>Магазин43 (м.Боярка, вул Бульварна,буд 2/50)</t>
        </is>
      </c>
      <c r="B39" s="4" t="n">
        <v>1.452</v>
      </c>
      <c r="C39" s="4" t="n">
        <v>1.274</v>
      </c>
      <c r="D39" s="4" t="n">
        <v>2.394</v>
      </c>
      <c r="E39" s="5">
        <f>IF(OR(C39=0,D39=""),"",D39/C39)</f>
        <v/>
      </c>
      <c r="F39" s="5" t="n">
        <v>317.22</v>
      </c>
      <c r="G39" s="4" t="n"/>
      <c r="H39" s="4" t="n"/>
      <c r="I39" s="4" t="n">
        <v>3.558</v>
      </c>
      <c r="J39" s="5">
        <f>IF(OR(H39=0,I39=""),"",I39/H39)</f>
        <v/>
      </c>
      <c r="K39" s="5" t="n"/>
      <c r="L39" s="4" t="n">
        <v>8</v>
      </c>
      <c r="M39" s="4" t="n"/>
      <c r="N39" s="4" t="n">
        <v>11</v>
      </c>
      <c r="O39" s="5">
        <f>IF(OR(M39=0,N39=""),"",N39/M39)</f>
        <v/>
      </c>
      <c r="P39" s="5" t="n"/>
      <c r="Q39" s="4" t="n">
        <v>86</v>
      </c>
      <c r="R39" s="4" t="n">
        <v>3</v>
      </c>
      <c r="S39" s="4" t="n">
        <v>98</v>
      </c>
      <c r="T39" s="5">
        <f>IF(OR(R39=0,S39=""),"",S39/R39)</f>
        <v/>
      </c>
      <c r="U39" s="5" t="n">
        <v>198.9</v>
      </c>
      <c r="V39" s="4" t="n">
        <v>75</v>
      </c>
      <c r="W39" s="4" t="n">
        <v>1</v>
      </c>
      <c r="X39" s="4" t="n">
        <v>9</v>
      </c>
      <c r="Y39" s="5">
        <f>IF(OR(W39=0,X39=""),"",X39/W39)</f>
        <v/>
      </c>
      <c r="Z39" s="5" t="n">
        <v>32.9</v>
      </c>
      <c r="AA39" s="4" t="n">
        <v>22</v>
      </c>
      <c r="AB39" s="4" t="n"/>
      <c r="AC39" s="4" t="n">
        <v>10</v>
      </c>
      <c r="AD39" s="5">
        <f>IF(OR(AB39=0,AC39=""),"",AC39/AB39)</f>
        <v/>
      </c>
      <c r="AE39" s="5" t="n"/>
      <c r="AF39" s="4" t="n">
        <v>19</v>
      </c>
      <c r="AG39" s="4" t="n">
        <v>3</v>
      </c>
      <c r="AH39" s="4" t="n">
        <v>14</v>
      </c>
      <c r="AI39" s="5">
        <f>IF(OR(AG39=0,AH39=""),"",AH39/AG39)</f>
        <v/>
      </c>
      <c r="AJ39" s="5" t="n">
        <v>229.8</v>
      </c>
      <c r="AK39" s="4" t="n"/>
      <c r="AL39" s="4" t="n">
        <v>6</v>
      </c>
      <c r="AM39" s="4" t="n">
        <v>70</v>
      </c>
      <c r="AN39" s="5">
        <f>IF(OR(AL39=0,AM39=""),"",AM39/AL39)</f>
        <v/>
      </c>
      <c r="AO39" s="5" t="n">
        <v>150</v>
      </c>
      <c r="AP39" s="4" t="n">
        <v>3.98</v>
      </c>
      <c r="AQ39" s="4" t="n"/>
      <c r="AR39" s="4" t="n">
        <v>1.234</v>
      </c>
      <c r="AS39" s="5">
        <f>IF(OR(AQ39=0,AR39=""),"",AR39/AQ39)</f>
        <v/>
      </c>
      <c r="AT39" s="5" t="n"/>
      <c r="AU39" s="4" t="n">
        <v>33</v>
      </c>
      <c r="AV39" s="4" t="n"/>
      <c r="AW39" s="4" t="n">
        <v>8</v>
      </c>
      <c r="AX39" s="5">
        <f>IF(OR(AV39=0,AW39=""),"",AW39/AV39)</f>
        <v/>
      </c>
      <c r="AY39" s="5" t="n"/>
      <c r="AZ39" s="4" t="n">
        <v>35</v>
      </c>
      <c r="BA39" s="4" t="n"/>
      <c r="BB39" s="4" t="n">
        <v>11</v>
      </c>
      <c r="BC39" s="5">
        <f>IF(OR(BA39=0,BB39=""),"",BB39/BA39)</f>
        <v/>
      </c>
      <c r="BD39" s="5" t="n"/>
      <c r="BE39" s="4" t="n">
        <v>0.96</v>
      </c>
      <c r="BF39" s="4" t="n">
        <v>1.002</v>
      </c>
      <c r="BG39" s="4" t="n">
        <v>5.3</v>
      </c>
      <c r="BH39" s="5">
        <f>IF(OR(BF39=0,BG39=""),"",BG39/BF39)</f>
        <v/>
      </c>
      <c r="BI39" s="5" t="n">
        <v>379.25</v>
      </c>
      <c r="BJ39" s="4" t="n">
        <v>29.758</v>
      </c>
      <c r="BK39" s="4" t="n">
        <v>0.106</v>
      </c>
      <c r="BL39" s="4" t="n">
        <v>2.42</v>
      </c>
      <c r="BM39" s="5">
        <f>IF(OR(BK39=0,BL39=""),"",BL39/BK39)</f>
        <v/>
      </c>
      <c r="BN39" s="5" t="n">
        <v>41.64</v>
      </c>
      <c r="BO39" s="4" t="n">
        <v>314.15</v>
      </c>
      <c r="BP39" s="4" t="n">
        <v>15.38</v>
      </c>
      <c r="BQ39" s="4" t="n">
        <v>245.91</v>
      </c>
      <c r="BR39" s="5">
        <f>IF(OR(BP39=0,BQ39=""),"",BQ39/BP39)</f>
        <v/>
      </c>
      <c r="BS39" s="5" t="n">
        <v>1349.71</v>
      </c>
    </row>
    <row r="40" ht="11.1" customHeight="1">
      <c r="A40" s="3" t="inlineStr">
        <is>
          <t>Розпод. центр Легіон (с.Білогородка, вул Аграрна, буд 1 А)</t>
        </is>
      </c>
      <c r="B40" s="6" t="n"/>
      <c r="C40" s="6" t="n"/>
      <c r="D40" s="4" t="n"/>
      <c r="E40" s="5">
        <f>IF(OR(C40=0,D40=""),"",D40/C40)</f>
        <v/>
      </c>
      <c r="F40" s="6" t="n"/>
      <c r="G40" s="6" t="n"/>
      <c r="H40" s="6" t="n"/>
      <c r="I40" s="4" t="n"/>
      <c r="J40" s="5">
        <f>IF(OR(H40=0,I40=""),"",I40/H40)</f>
        <v/>
      </c>
      <c r="K40" s="6" t="n"/>
      <c r="L40" s="6" t="n"/>
      <c r="M40" s="6" t="n"/>
      <c r="N40" s="4" t="n"/>
      <c r="O40" s="5">
        <f>IF(OR(M40=0,N40=""),"",N40/M40)</f>
        <v/>
      </c>
      <c r="P40" s="6" t="n"/>
      <c r="Q40" s="6" t="n"/>
      <c r="R40" s="6" t="n"/>
      <c r="S40" s="4" t="n"/>
      <c r="T40" s="5">
        <f>IF(OR(R40=0,S40=""),"",S40/R40)</f>
        <v/>
      </c>
      <c r="U40" s="6" t="n"/>
      <c r="V40" s="6" t="n">
        <v>2833</v>
      </c>
      <c r="W40" s="6" t="n"/>
      <c r="X40" s="4" t="n"/>
      <c r="Y40" s="5">
        <f>IF(OR(W40=0,X40=""),"",X40/W40)</f>
        <v/>
      </c>
      <c r="Z40" s="6" t="n"/>
      <c r="AA40" s="6" t="n"/>
      <c r="AB40" s="6" t="n"/>
      <c r="AC40" s="4" t="n"/>
      <c r="AD40" s="5">
        <f>IF(OR(AB40=0,AC40=""),"",AC40/AB40)</f>
        <v/>
      </c>
      <c r="AE40" s="6" t="n"/>
      <c r="AF40" s="6" t="n">
        <v>1152</v>
      </c>
      <c r="AG40" s="6" t="n"/>
      <c r="AH40" s="4" t="n"/>
      <c r="AI40" s="5">
        <f>IF(OR(AG40=0,AH40=""),"",AH40/AG40)</f>
        <v/>
      </c>
      <c r="AJ40" s="6" t="n"/>
      <c r="AK40" s="6" t="n"/>
      <c r="AL40" s="6" t="n"/>
      <c r="AM40" s="4" t="n"/>
      <c r="AN40" s="5">
        <f>IF(OR(AL40=0,AM40=""),"",AM40/AL40)</f>
        <v/>
      </c>
      <c r="AO40" s="6" t="n"/>
      <c r="AP40" s="6" t="n"/>
      <c r="AQ40" s="6" t="n"/>
      <c r="AR40" s="4" t="n"/>
      <c r="AS40" s="5">
        <f>IF(OR(AQ40=0,AR40=""),"",AR40/AQ40)</f>
        <v/>
      </c>
      <c r="AT40" s="6" t="n"/>
      <c r="AU40" s="6" t="n"/>
      <c r="AV40" s="6" t="n"/>
      <c r="AW40" s="4" t="n"/>
      <c r="AX40" s="5">
        <f>IF(OR(AV40=0,AW40=""),"",AW40/AV40)</f>
        <v/>
      </c>
      <c r="AY40" s="6" t="n"/>
      <c r="AZ40" s="6" t="n"/>
      <c r="BA40" s="6" t="n"/>
      <c r="BB40" s="4" t="n"/>
      <c r="BC40" s="5">
        <f>IF(OR(BA40=0,BB40=""),"",BB40/BA40)</f>
        <v/>
      </c>
      <c r="BD40" s="6" t="n"/>
      <c r="BE40" s="6" t="n"/>
      <c r="BF40" s="6" t="n"/>
      <c r="BG40" s="4" t="n"/>
      <c r="BH40" s="5">
        <f>IF(OR(BF40=0,BG40=""),"",BG40/BF40)</f>
        <v/>
      </c>
      <c r="BI40" s="6" t="n"/>
      <c r="BJ40" s="6" t="n"/>
      <c r="BK40" s="6" t="n"/>
      <c r="BL40" s="4" t="n"/>
      <c r="BM40" s="5">
        <f>IF(OR(BK40=0,BL40=""),"",BL40/BK40)</f>
        <v/>
      </c>
      <c r="BN40" s="6" t="n"/>
      <c r="BO40" s="6" t="n">
        <v>3985</v>
      </c>
      <c r="BP40" s="6" t="n"/>
      <c r="BQ40" s="4" t="n"/>
      <c r="BR40" s="5">
        <f>IF(OR(BP40=0,BQ40=""),"",BQ40/BP40)</f>
        <v/>
      </c>
      <c r="BS40" s="6" t="n"/>
    </row>
    <row r="41" ht="11.1" customHeight="1">
      <c r="A41" s="3" t="inlineStr">
        <is>
          <t>Розпод. центр Рідо (с.Білогородка, вул Аграрна, буд 1 А)</t>
        </is>
      </c>
      <c r="B41" s="6" t="n"/>
      <c r="C41" s="6" t="n"/>
      <c r="D41" s="4" t="n"/>
      <c r="E41" s="5">
        <f>IF(OR(C41=0,D41=""),"",D41/C41)</f>
        <v/>
      </c>
      <c r="F41" s="6" t="n"/>
      <c r="G41" s="6" t="n"/>
      <c r="H41" s="6" t="n"/>
      <c r="I41" s="4" t="n"/>
      <c r="J41" s="5">
        <f>IF(OR(H41=0,I41=""),"",I41/H41)</f>
        <v/>
      </c>
      <c r="K41" s="6" t="n"/>
      <c r="L41" s="6" t="n"/>
      <c r="M41" s="6" t="n"/>
      <c r="N41" s="4" t="n"/>
      <c r="O41" s="5">
        <f>IF(OR(M41=0,N41=""),"",N41/M41)</f>
        <v/>
      </c>
      <c r="P41" s="6" t="n"/>
      <c r="Q41" s="6" t="n"/>
      <c r="R41" s="6" t="n"/>
      <c r="S41" s="4" t="n"/>
      <c r="T41" s="5">
        <f>IF(OR(R41=0,S41=""),"",S41/R41)</f>
        <v/>
      </c>
      <c r="U41" s="6" t="n"/>
      <c r="V41" s="6" t="n"/>
      <c r="W41" s="6" t="n"/>
      <c r="X41" s="4" t="n"/>
      <c r="Y41" s="5">
        <f>IF(OR(W41=0,X41=""),"",X41/W41)</f>
        <v/>
      </c>
      <c r="Z41" s="6" t="n"/>
      <c r="AA41" s="6" t="n"/>
      <c r="AB41" s="6" t="n"/>
      <c r="AC41" s="4" t="n"/>
      <c r="AD41" s="5">
        <f>IF(OR(AB41=0,AC41=""),"",AC41/AB41)</f>
        <v/>
      </c>
      <c r="AE41" s="6" t="n"/>
      <c r="AF41" s="6" t="n">
        <v>1104</v>
      </c>
      <c r="AG41" s="6" t="n"/>
      <c r="AH41" s="4" t="n"/>
      <c r="AI41" s="5">
        <f>IF(OR(AG41=0,AH41=""),"",AH41/AG41)</f>
        <v/>
      </c>
      <c r="AJ41" s="6" t="n"/>
      <c r="AK41" s="6" t="n"/>
      <c r="AL41" s="6" t="n"/>
      <c r="AM41" s="4" t="n"/>
      <c r="AN41" s="5">
        <f>IF(OR(AL41=0,AM41=""),"",AM41/AL41)</f>
        <v/>
      </c>
      <c r="AO41" s="6" t="n"/>
      <c r="AP41" s="6" t="n"/>
      <c r="AQ41" s="6" t="n"/>
      <c r="AR41" s="4" t="n"/>
      <c r="AS41" s="5">
        <f>IF(OR(AQ41=0,AR41=""),"",AR41/AQ41)</f>
        <v/>
      </c>
      <c r="AT41" s="6" t="n"/>
      <c r="AU41" s="6" t="n"/>
      <c r="AV41" s="6" t="n"/>
      <c r="AW41" s="4" t="n"/>
      <c r="AX41" s="5">
        <f>IF(OR(AV41=0,AW41=""),"",AW41/AV41)</f>
        <v/>
      </c>
      <c r="AY41" s="6" t="n"/>
      <c r="AZ41" s="6" t="n"/>
      <c r="BA41" s="6" t="n"/>
      <c r="BB41" s="4" t="n"/>
      <c r="BC41" s="5">
        <f>IF(OR(BA41=0,BB41=""),"",BB41/BA41)</f>
        <v/>
      </c>
      <c r="BD41" s="6" t="n"/>
      <c r="BE41" s="6" t="n"/>
      <c r="BF41" s="6" t="n"/>
      <c r="BG41" s="4" t="n"/>
      <c r="BH41" s="5">
        <f>IF(OR(BF41=0,BG41=""),"",BG41/BF41)</f>
        <v/>
      </c>
      <c r="BI41" s="6" t="n"/>
      <c r="BJ41" s="6" t="n"/>
      <c r="BK41" s="6" t="n"/>
      <c r="BL41" s="4" t="n"/>
      <c r="BM41" s="5">
        <f>IF(OR(BK41=0,BL41=""),"",BL41/BK41)</f>
        <v/>
      </c>
      <c r="BN41" s="6" t="n"/>
      <c r="BO41" s="6" t="n">
        <v>1104</v>
      </c>
      <c r="BP41" s="6" t="n"/>
      <c r="BQ41" s="4" t="n"/>
      <c r="BR41" s="5">
        <f>IF(OR(BP41=0,BQ41=""),"",BQ41/BP41)</f>
        <v/>
      </c>
      <c r="BS41" s="6" t="n"/>
    </row>
    <row r="42" ht="12.95" customHeight="1">
      <c r="A42" s="12" t="inlineStr">
        <is>
          <t>Итого</t>
        </is>
      </c>
      <c r="B42" s="13">
        <f>SUM(B4:B41)</f>
        <v/>
      </c>
      <c r="C42" s="13">
        <f>SUM(C4:C41)</f>
        <v/>
      </c>
      <c r="D42" s="13">
        <f>SUM(D4:D41)</f>
        <v/>
      </c>
      <c r="E42" s="15">
        <f>IF(OR(C42=0,D42=""),"",D42/C42)</f>
        <v/>
      </c>
      <c r="F42" s="14">
        <f>SUM(F4:F41)</f>
        <v/>
      </c>
      <c r="G42" s="13">
        <f>SUM(G4:G41)</f>
        <v/>
      </c>
      <c r="H42" s="13">
        <f>SUM(H4:H41)</f>
        <v/>
      </c>
      <c r="I42" s="13">
        <f>SUM(I4:I41)</f>
        <v/>
      </c>
      <c r="J42" s="15">
        <f>IF(OR(H42=0,I42=""),"",I42/H42)</f>
        <v/>
      </c>
      <c r="K42" s="14">
        <f>SUM(K4:K41)</f>
        <v/>
      </c>
      <c r="L42" s="13">
        <f>SUM(L4:L41)</f>
        <v/>
      </c>
      <c r="M42" s="13">
        <f>SUM(M4:M41)</f>
        <v/>
      </c>
      <c r="N42" s="13">
        <f>SUM(N4:N41)</f>
        <v/>
      </c>
      <c r="O42" s="15">
        <f>IF(OR(M42=0,N42=""),"",N42/M42)</f>
        <v/>
      </c>
      <c r="P42" s="14">
        <f>SUM(P4:P41)</f>
        <v/>
      </c>
      <c r="Q42" s="13">
        <f>SUM(Q4:Q41)</f>
        <v/>
      </c>
      <c r="R42" s="13">
        <f>SUM(R4:R41)</f>
        <v/>
      </c>
      <c r="S42" s="13">
        <f>SUM(S4:S41)</f>
        <v/>
      </c>
      <c r="T42" s="15">
        <f>IF(OR(R42=0,S42=""),"",S42/R42)</f>
        <v/>
      </c>
      <c r="U42" s="14">
        <f>SUM(U4:U41)</f>
        <v/>
      </c>
      <c r="V42" s="13">
        <f>SUM(V4:V41)</f>
        <v/>
      </c>
      <c r="W42" s="13">
        <f>SUM(W4:W41)</f>
        <v/>
      </c>
      <c r="X42" s="13">
        <f>SUM(X4:X41)</f>
        <v/>
      </c>
      <c r="Y42" s="15">
        <f>IF(OR(W42=0,X42=""),"",X42/W42)</f>
        <v/>
      </c>
      <c r="Z42" s="14">
        <f>SUM(Z4:Z41)</f>
        <v/>
      </c>
      <c r="AA42" s="13">
        <f>SUM(AA4:AA41)</f>
        <v/>
      </c>
      <c r="AB42" s="13">
        <f>SUM(AB4:AB41)</f>
        <v/>
      </c>
      <c r="AC42" s="13">
        <f>SUM(AC4:AC41)</f>
        <v/>
      </c>
      <c r="AD42" s="15">
        <f>IF(OR(AB42=0,AC42=""),"",AC42/AB42)</f>
        <v/>
      </c>
      <c r="AE42" s="14">
        <f>SUM(AE4:AE41)</f>
        <v/>
      </c>
      <c r="AF42" s="13">
        <f>SUM(AF4:AF41)</f>
        <v/>
      </c>
      <c r="AG42" s="13">
        <f>SUM(AG4:AG41)</f>
        <v/>
      </c>
      <c r="AH42" s="13">
        <f>SUM(AH4:AH41)</f>
        <v/>
      </c>
      <c r="AI42" s="15">
        <f>IF(OR(AG42=0,AH42=""),"",AH42/AG42)</f>
        <v/>
      </c>
      <c r="AJ42" s="14">
        <f>SUM(AJ4:AJ41)</f>
        <v/>
      </c>
      <c r="AK42" s="13">
        <f>SUM(AK4:AK41)</f>
        <v/>
      </c>
      <c r="AL42" s="13">
        <f>SUM(AL4:AL41)</f>
        <v/>
      </c>
      <c r="AM42" s="13">
        <f>SUM(AM4:AM41)</f>
        <v/>
      </c>
      <c r="AN42" s="15">
        <f>IF(OR(AL42=0,AM42=""),"",AM42/AL42)</f>
        <v/>
      </c>
      <c r="AO42" s="14">
        <f>SUM(AO4:AO41)</f>
        <v/>
      </c>
      <c r="AP42" s="13">
        <f>SUM(AP4:AP41)</f>
        <v/>
      </c>
      <c r="AQ42" s="13">
        <f>SUM(AQ4:AQ41)</f>
        <v/>
      </c>
      <c r="AR42" s="13">
        <f>SUM(AR4:AR41)</f>
        <v/>
      </c>
      <c r="AS42" s="15">
        <f>IF(OR(AQ42=0,AR42=""),"",AR42/AQ42)</f>
        <v/>
      </c>
      <c r="AT42" s="14">
        <f>SUM(AT4:AT41)</f>
        <v/>
      </c>
      <c r="AU42" s="13">
        <f>SUM(AU4:AU41)</f>
        <v/>
      </c>
      <c r="AV42" s="13">
        <f>SUM(AV4:AV41)</f>
        <v/>
      </c>
      <c r="AW42" s="13">
        <f>SUM(AW4:AW41)</f>
        <v/>
      </c>
      <c r="AX42" s="15">
        <f>IF(OR(AV42=0,AW42=""),"",AW42/AV42)</f>
        <v/>
      </c>
      <c r="AY42" s="14">
        <f>SUM(AY4:AY41)</f>
        <v/>
      </c>
      <c r="AZ42" s="13">
        <f>SUM(AZ4:AZ41)</f>
        <v/>
      </c>
      <c r="BA42" s="13">
        <f>SUM(BA4:BA41)</f>
        <v/>
      </c>
      <c r="BB42" s="13">
        <f>SUM(BB4:BB41)</f>
        <v/>
      </c>
      <c r="BC42" s="15">
        <f>IF(OR(BA42=0,BB42=""),"",BB42/BA42)</f>
        <v/>
      </c>
      <c r="BD42" s="14">
        <f>SUM(BD4:BD41)</f>
        <v/>
      </c>
      <c r="BE42" s="13">
        <f>SUM(BE4:BE41)</f>
        <v/>
      </c>
      <c r="BF42" s="13">
        <f>SUM(BF4:BF41)</f>
        <v/>
      </c>
      <c r="BG42" s="13">
        <f>SUM(BG4:BG41)</f>
        <v/>
      </c>
      <c r="BH42" s="15">
        <f>IF(OR(BF42=0,BG42=""),"",BG42/BF42)</f>
        <v/>
      </c>
      <c r="BI42" s="14">
        <f>SUM(BI4:BI41)</f>
        <v/>
      </c>
      <c r="BJ42" s="13">
        <f>SUM(BJ4:BJ41)</f>
        <v/>
      </c>
      <c r="BK42" s="13">
        <f>SUM(BK4:BK41)</f>
        <v/>
      </c>
      <c r="BL42" s="13">
        <f>SUM(BL4:BL41)</f>
        <v/>
      </c>
      <c r="BM42" s="15">
        <f>IF(OR(BK42=0,BL42=""),"",BL42/BK42)</f>
        <v/>
      </c>
      <c r="BN42" s="14">
        <f>SUM(BN4:BN41)</f>
        <v/>
      </c>
      <c r="BO42" s="13">
        <f>SUM(BO4:BO41)</f>
        <v/>
      </c>
      <c r="BP42" s="13">
        <f>SUM(BP4:BP41)</f>
        <v/>
      </c>
      <c r="BQ42" s="13">
        <f>SUM(BQ4:BQ41)</f>
        <v/>
      </c>
      <c r="BR42" s="15">
        <f>IF(OR(BP42=0,BQ42=""),"",BQ42/BP42)</f>
        <v/>
      </c>
      <c r="BS42" s="14">
        <f>SUM(BS4:BS41)</f>
        <v/>
      </c>
    </row>
  </sheetData>
  <autoFilter ref="A3:BS41"/>
  <mergeCells count="28">
    <mergeCell ref="L2:P2"/>
    <mergeCell ref="V2:Z2"/>
    <mergeCell ref="G2:K2"/>
    <mergeCell ref="AA1:AE1"/>
    <mergeCell ref="AZ1:BD1"/>
    <mergeCell ref="BJ1:BN1"/>
    <mergeCell ref="AU1:AY1"/>
    <mergeCell ref="B2:F2"/>
    <mergeCell ref="V1:Z1"/>
    <mergeCell ref="BE1:BI1"/>
    <mergeCell ref="B1:F1"/>
    <mergeCell ref="AP1:AT1"/>
    <mergeCell ref="BJ2:BN2"/>
    <mergeCell ref="BO1:BS2"/>
    <mergeCell ref="A1:A3"/>
    <mergeCell ref="Q1:U1"/>
    <mergeCell ref="L1:P1"/>
    <mergeCell ref="AK1:AO1"/>
    <mergeCell ref="BE2:BI2"/>
    <mergeCell ref="AF2:AJ2"/>
    <mergeCell ref="AP2:AT2"/>
    <mergeCell ref="Q2:U2"/>
    <mergeCell ref="AF1:AJ1"/>
    <mergeCell ref="AZ2:BD2"/>
    <mergeCell ref="G1:K1"/>
    <mergeCell ref="AA2:AE2"/>
    <mergeCell ref="AU2:AY2"/>
    <mergeCell ref="AK2:AO2"/>
  </mergeCells>
  <pageMargins left="0.75" right="1" top="0.75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Смільницький Станіслав</dc:creator>
  <dcterms:created xmlns:dcterms="http://purl.org/dc/terms/" xmlns:xsi="http://www.w3.org/2001/XMLSchema-instance" xsi:type="dcterms:W3CDTF">2026-09-08T07:51:35Z</dcterms:created>
  <dcterms:modified xmlns:dcterms="http://purl.org/dc/terms/" xmlns:xsi="http://www.w3.org/2001/XMLSchema-instance" xsi:type="dcterms:W3CDTF">2026-09-08T08:06:57Z</dcterms:modified>
  <cp:lastModifiedBy>Кавакін Анатолій Ігорович</cp:lastModifiedBy>
</cp:coreProperties>
</file>