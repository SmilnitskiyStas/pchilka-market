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yalty\Downloads\"/>
    </mc:Choice>
  </mc:AlternateContent>
  <bookViews>
    <workbookView xWindow="0" yWindow="0" windowWidth="11400" windowHeight="5895" tabRatio="0"/>
  </bookViews>
  <sheets>
    <sheet name="TDSheet" sheetId="1" r:id="rId1"/>
  </sheets>
  <externalReferences>
    <externalReference r:id="rId2"/>
  </externalReferences>
  <calcPr calcId="162913" refMode="R1C1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" i="1"/>
</calcChain>
</file>

<file path=xl/sharedStrings.xml><?xml version="1.0" encoding="utf-8"?>
<sst xmlns="http://schemas.openxmlformats.org/spreadsheetml/2006/main" count="98" uniqueCount="59">
  <si>
    <t>Торговый центр</t>
  </si>
  <si>
    <t>Итого</t>
  </si>
  <si>
    <t>Ковбаса Баликова н/к 1г ваг (Власн.вироб)</t>
  </si>
  <si>
    <t>Котлета куряча смажена охол.ваг НЕ ПАРСЯ</t>
  </si>
  <si>
    <t>Масло L`extra солодковершкове  Екстра 82% 180г</t>
  </si>
  <si>
    <t>Молоко Ферма ультрапастеризоване 2,5% TF 900г</t>
  </si>
  <si>
    <t>Напій Pulse Mango енерг.б/а 250мл</t>
  </si>
  <si>
    <t>Нектар Jaffa Мультифруктовий Тропічні фрукти т/п 0,95л</t>
  </si>
  <si>
    <t>Пиво Grimbergen Бланш 6% з/б 0,5л</t>
  </si>
  <si>
    <t>Плюшка маленька з цукром 120г (Власн.вироб)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</si>
  <si>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</si>
  <si>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</si>
  <si>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</si>
  <si>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</si>
  <si>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Цукерки Конті Шоколадні історії Джек ваг</t>
  </si>
  <si>
    <t>Остаток за вычетом текущих продаж</t>
  </si>
  <si>
    <t>Количество продажи</t>
  </si>
  <si>
    <t>Сумма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</si>
  <si>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</si>
  <si>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</si>
  <si>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</si>
  <si>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</si>
  <si>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</si>
  <si>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</si>
  <si>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</si>
  <si>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</si>
  <si>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</si>
  <si>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</si>
  <si>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</si>
  <si>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</si>
  <si>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</si>
  <si>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</si>
  <si>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</si>
  <si>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</si>
  <si>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</si>
  <si>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</si>
  <si>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</si>
  <si>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</si>
  <si>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</si>
  <si>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</si>
  <si>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</si>
  <si>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</si>
  <si>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</si>
  <si>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</si>
  <si>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</si>
  <si>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</si>
  <si>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</si>
  <si>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</si>
  <si>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</si>
  <si>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</si>
  <si>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</si>
  <si>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</si>
  <si>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</si>
  <si>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</si>
  <si>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</si>
  <si>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</si>
  <si>
    <t>К-ть продаж 25.08-31.08</t>
  </si>
  <si>
    <t>К-ть продаж 01.09-07.09</t>
  </si>
  <si>
    <t>Коєф.приросту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</si>
</sst>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4574A0"/>
      </patternFill>
    </fill>
    <fill>
      <patternFill patternType="solid">
        <fgColor rgb="FFCCFFCC"/>
      </patternFill>
    </fill>
    <fill>
      <patternFill patternType="solid">
        <fgColor rgb="FF4A62B9"/>
      </patternFill>
    </fill>
  </fills>
  <borders count="9">
    <border>
      <left/>
      <right/>
      <top/>
      <bottom/>
      <diagonal/>
    </border>
    <border>
      <left style="thin">
        <color rgb="FFBDC7EB"/>
      </left>
      <right style="thin">
        <color rgb="FFBDC7EB"/>
      </right>
      <top/>
      <bottom/>
      <diagonal/>
    </border>
    <border>
      <left style="thin">
        <color rgb="FFBDC7EB"/>
      </left>
      <right style="thin">
        <color rgb="FFBDC7EB"/>
      </right>
      <top/>
      <bottom style="thin">
        <color rgb="FFBDC7EB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BDC7EB"/>
      </left>
      <right/>
      <top/>
      <bottom style="thin">
        <color rgb="FFBDC7EB"/>
      </bottom>
      <diagonal/>
    </border>
    <border>
      <left/>
      <right/>
      <top/>
      <bottom style="thin">
        <color rgb="FFBDC7EB"/>
      </bottom>
      <diagonal/>
    </border>
    <border>
      <left/>
      <right style="thin">
        <color rgb="FFBDC7EB"/>
      </right>
      <top/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64" fontId="0" fillId="0" borderId="8" xfId="0" applyNumberFormat="1" applyBorder="1" applyAlignment="1">
      <alignment horizontal="right" vertical="top"/>
    </xf>
    <xf numFmtId="2" fontId="0" fillId="0" borderId="8" xfId="0" applyNumberFormat="1" applyBorder="1" applyAlignment="1">
      <alignment horizontal="right" vertical="top"/>
    </xf>
    <xf numFmtId="0" fontId="0" fillId="0" borderId="8" xfId="0" applyBorder="1" applyAlignment="1">
      <alignment horizontal="left" vertical="top"/>
    </xf>
    <xf numFmtId="1" fontId="0" fillId="0" borderId="8" xfId="0" applyNumberFormat="1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4" fontId="0" fillId="0" borderId="8" xfId="0" applyNumberFormat="1" applyBorder="1" applyAlignment="1">
      <alignment horizontal="right" vertical="top"/>
    </xf>
    <xf numFmtId="165" fontId="0" fillId="0" borderId="8" xfId="0" applyNumberFormat="1" applyBorder="1" applyAlignment="1">
      <alignment horizontal="right" vertical="top"/>
    </xf>
    <xf numFmtId="3" fontId="0" fillId="0" borderId="8" xfId="0" applyNumberFormat="1" applyBorder="1" applyAlignment="1">
      <alignment horizontal="right" vertical="top"/>
    </xf>
    <xf numFmtId="0" fontId="1" fillId="4" borderId="4" xfId="0" applyFont="1" applyFill="1" applyBorder="1" applyAlignment="1">
      <alignment horizontal="left" vertical="top"/>
    </xf>
    <xf numFmtId="164" fontId="1" fillId="4" borderId="4" xfId="0" applyNumberFormat="1" applyFont="1" applyFill="1" applyBorder="1" applyAlignment="1">
      <alignment horizontal="right" vertical="top"/>
    </xf>
    <xf numFmtId="4" fontId="1" fillId="4" borderId="4" xfId="0" applyNumberFormat="1" applyFont="1" applyFill="1" applyBorder="1" applyAlignment="1">
      <alignment horizontal="right" vertical="top"/>
    </xf>
    <xf numFmtId="2" fontId="1" fillId="4" borderId="4" xfId="0" applyNumberFormat="1" applyFont="1" applyFill="1" applyBorder="1" applyAlignment="1">
      <alignment horizontal="right" vertical="top"/>
    </xf>
    <xf numFmtId="1" fontId="1" fillId="4" borderId="4" xfId="0" applyNumberFormat="1" applyFont="1" applyFill="1" applyBorder="1" applyAlignment="1">
      <alignment horizontal="right" vertical="top"/>
    </xf>
    <xf numFmtId="3" fontId="1" fillId="4" borderId="4" xfId="0" applyNumberFormat="1" applyFont="1" applyFill="1" applyBorder="1" applyAlignment="1">
      <alignment horizontal="right" vertical="top"/>
    </xf>
    <xf numFmtId="166" fontId="1" fillId="4" borderId="4" xfId="0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" fontId="1" fillId="2" borderId="4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4;&#1090;&#1095;&#1077;&#1090;-1-7,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4">
          <cell r="A4" t="str">
            <v>Магазин 1/1 (м.Житомир, пр-т Миру, буд.15 )</v>
          </cell>
          <cell r="B4">
            <v>2.0990000000000002</v>
          </cell>
          <cell r="C4">
            <v>4.8360000000000003</v>
          </cell>
        </row>
        <row r="5">
          <cell r="A5" t="str">
            <v>Магазин 2 (вул.Володимирська 73/77)</v>
          </cell>
          <cell r="B5">
            <v>4.7679999999999998</v>
          </cell>
          <cell r="C5">
            <v>2.508</v>
          </cell>
        </row>
        <row r="6">
          <cell r="A6" t="str">
            <v>Магазин 3 (вул.Раїси Окипної буд.3)</v>
          </cell>
          <cell r="B6">
            <v>1.766</v>
          </cell>
          <cell r="C6">
            <v>1.498</v>
          </cell>
        </row>
        <row r="7">
          <cell r="A7" t="str">
            <v>Магазин 5 (вул.Якуба Коласа 2 (Літера А))</v>
          </cell>
          <cell r="B7">
            <v>1.8959999999999999</v>
          </cell>
          <cell r="C7">
            <v>2.0099999999999998</v>
          </cell>
        </row>
        <row r="8">
          <cell r="A8" t="str">
            <v>Магазин 6 (вул. Сікорского буд.1А)</v>
          </cell>
          <cell r="B8">
            <v>2.3039999999999998</v>
          </cell>
          <cell r="C8">
            <v>3.1760000000000002</v>
          </cell>
        </row>
        <row r="9">
          <cell r="A9" t="str">
            <v>Магазин 7 (вул. Є.Коновальця, буд 44-б)</v>
          </cell>
          <cell r="B9">
            <v>1.1439999999999999</v>
          </cell>
          <cell r="C9">
            <v>1.1060000000000001</v>
          </cell>
        </row>
        <row r="10">
          <cell r="A10" t="str">
            <v>Магазин 8 (м.Ірпінь, вул.10 Лінія, буд.1 б)</v>
          </cell>
          <cell r="B10">
            <v>1</v>
          </cell>
          <cell r="C10">
            <v>2.8639999999999999</v>
          </cell>
        </row>
        <row r="11">
          <cell r="A11" t="str">
            <v>Магазин 9/1 (вул.Сім'ї Ідзиковських, 4)</v>
          </cell>
          <cell r="B11">
            <v>2.1800000000000002</v>
          </cell>
          <cell r="C11">
            <v>2.39</v>
          </cell>
        </row>
        <row r="12">
          <cell r="A12" t="str">
            <v>Магазин10 (пр.Володимира Івасюка, буд.65-б)</v>
          </cell>
          <cell r="B12">
            <v>3.0619999999999998</v>
          </cell>
          <cell r="C12">
            <v>3.92</v>
          </cell>
        </row>
        <row r="13">
          <cell r="A13" t="str">
            <v>Магазин11/1 (вул. Автозаводська, 27)</v>
          </cell>
          <cell r="B13">
            <v>1.65</v>
          </cell>
          <cell r="C13">
            <v>3.698</v>
          </cell>
        </row>
        <row r="14">
          <cell r="A14" t="str">
            <v>Магазин12 (вул.Антоновича, буд.115-Д)</v>
          </cell>
          <cell r="B14">
            <v>0.61899999999999999</v>
          </cell>
          <cell r="C14">
            <v>13.054</v>
          </cell>
        </row>
        <row r="15">
          <cell r="A15" t="str">
            <v>Магазин13/1 (с.Тарасівка,вул.Братів Чмілів,буд 3-А)</v>
          </cell>
        </row>
        <row r="16">
          <cell r="A16" t="str">
            <v>Магазин14 (вул.Світла,буд 3Д.корп.1,приміщ.2013)</v>
          </cell>
          <cell r="B16">
            <v>-0.01</v>
          </cell>
          <cell r="C16">
            <v>4.12</v>
          </cell>
        </row>
        <row r="17">
          <cell r="A17" t="str">
            <v>Магазин15 (вул.Шолом-Алейхема, буд.10А)</v>
          </cell>
          <cell r="B17">
            <v>4.0460000000000003</v>
          </cell>
          <cell r="C17">
            <v>4.3579999999999997</v>
          </cell>
        </row>
        <row r="18">
          <cell r="A18" t="str">
            <v>Магазин16 (пр.Романа Шухевича, буд 11-А)</v>
          </cell>
          <cell r="C18">
            <v>1.792</v>
          </cell>
        </row>
        <row r="19">
          <cell r="A19" t="str">
            <v>Магазин17/1 (м.Бориспіль, вул.Головатого, буд 64)</v>
          </cell>
          <cell r="B19">
            <v>3.5939999999999999</v>
          </cell>
        </row>
        <row r="20">
          <cell r="A20" t="str">
            <v>Магазин20 (вул.Бориспільська буд 32-А)</v>
          </cell>
          <cell r="B20">
            <v>4.968</v>
          </cell>
          <cell r="C20">
            <v>4.7619999999999996</v>
          </cell>
        </row>
        <row r="21">
          <cell r="A21" t="str">
            <v>Магазин21 (м.Ірпінь, вул Матвія Донцова,буд 50б)</v>
          </cell>
          <cell r="B21">
            <v>1.1839999999999999</v>
          </cell>
          <cell r="C21">
            <v>1.9359999999999999</v>
          </cell>
        </row>
        <row r="22">
          <cell r="A22" t="str">
            <v>Магазин22 (вул.Вітряні гори, буд.21/7(літера А)</v>
          </cell>
          <cell r="B22">
            <v>1.3180000000000001</v>
          </cell>
          <cell r="C22">
            <v>3.07</v>
          </cell>
        </row>
        <row r="23">
          <cell r="A23" t="str">
            <v>Магазин23 (бул.В.Гавела 18)</v>
          </cell>
          <cell r="B23">
            <v>-4.8780000000000001</v>
          </cell>
          <cell r="C23">
            <v>33.954000000000001</v>
          </cell>
        </row>
        <row r="24">
          <cell r="A24" t="str">
            <v>Магазин24/1 (смт.Глеваха, вул.Ботанічна, буд.34)</v>
          </cell>
          <cell r="B24">
            <v>0.216</v>
          </cell>
          <cell r="C24">
            <v>1.028</v>
          </cell>
        </row>
        <row r="25">
          <cell r="A25" t="str">
            <v>Магазин25 (с.Софіївська Борщагівка,вул.Чубинського, 8-В)</v>
          </cell>
          <cell r="B25">
            <v>4.1399999999999997</v>
          </cell>
          <cell r="C25">
            <v>1.204</v>
          </cell>
        </row>
        <row r="26">
          <cell r="A26" t="str">
            <v>Магазин26 (вул.Данченка Сергія,буд.30.прим.279)</v>
          </cell>
          <cell r="B26">
            <v>0.64600000000000002</v>
          </cell>
          <cell r="C26">
            <v>1.248</v>
          </cell>
        </row>
        <row r="27">
          <cell r="A27" t="str">
            <v>Магазин27 (вул.Радистів буд.14)</v>
          </cell>
          <cell r="B27">
            <v>-4.0000000000000001E-3</v>
          </cell>
          <cell r="C27">
            <v>3.3559999999999999</v>
          </cell>
        </row>
        <row r="28">
          <cell r="A28" t="str">
            <v>Магазин31 (м.Житомир, вул.Вітрука, буд.19)</v>
          </cell>
          <cell r="C28">
            <v>1.6839999999999999</v>
          </cell>
        </row>
        <row r="29">
          <cell r="A29" t="str">
            <v>Магазин32 (вул.Закревського Миколи 47А)</v>
          </cell>
          <cell r="B29">
            <v>0.23799999999999999</v>
          </cell>
          <cell r="C29">
            <v>5.3959999999999999</v>
          </cell>
        </row>
        <row r="30">
          <cell r="A30" t="str">
            <v>Магазин33 (м.Бровари, вул. Київська,буд.95)</v>
          </cell>
          <cell r="B30">
            <v>0.66600000000000004</v>
          </cell>
          <cell r="C30">
            <v>1.538</v>
          </cell>
        </row>
        <row r="31">
          <cell r="A31" t="str">
            <v>Магазин35 (вул.О.Пчілки, буд,7-Б)</v>
          </cell>
          <cell r="B31">
            <v>4.2000000000000003E-2</v>
          </cell>
          <cell r="C31">
            <v>3.17</v>
          </cell>
        </row>
        <row r="32">
          <cell r="A32" t="str">
            <v>Магазин36 (м.Буча, пров.Тихого, буд.4, секц.2, приміщ.236)</v>
          </cell>
          <cell r="B32">
            <v>1.758</v>
          </cell>
          <cell r="C32">
            <v>2.6520000000000001</v>
          </cell>
        </row>
        <row r="33">
          <cell r="A33" t="str">
            <v>Магазин37 (просп.Повітряних Сил, буд.19-А/1)</v>
          </cell>
          <cell r="B33">
            <v>4.9119999999999999</v>
          </cell>
          <cell r="C33">
            <v>3.2519999999999998</v>
          </cell>
        </row>
        <row r="34">
          <cell r="A34" t="str">
            <v>Магазин38 (м.Чернігів, вул.Всіхсвятська, буд 5)</v>
          </cell>
          <cell r="B34">
            <v>1.228</v>
          </cell>
          <cell r="C34">
            <v>4.25</v>
          </cell>
        </row>
        <row r="35">
          <cell r="A35" t="str">
            <v>Магазин4/1 (смт.Коцюбинське,вул.Пономарьова,28а)</v>
          </cell>
          <cell r="B35">
            <v>1.6739999999999999</v>
          </cell>
          <cell r="C35">
            <v>1.502</v>
          </cell>
        </row>
        <row r="36">
          <cell r="A36" t="str">
            <v>Магазин40 (м.Біла Церква, вул.Митрофанова, буд.8, прим.1)</v>
          </cell>
          <cell r="B36">
            <v>4.0000000000000001E-3</v>
          </cell>
          <cell r="C36">
            <v>1.87</v>
          </cell>
        </row>
        <row r="37">
          <cell r="A37" t="str">
            <v>Магазин41 (м. Біла Церква, Сквирське шосе, буд.223)</v>
          </cell>
          <cell r="B37">
            <v>1.6220000000000001</v>
          </cell>
          <cell r="C37">
            <v>1.36</v>
          </cell>
        </row>
        <row r="38">
          <cell r="A38" t="str">
            <v>Магазин42 (с.Гора, вул.Центральна, буд.20-А)</v>
          </cell>
          <cell r="B38">
            <v>0.52400000000000002</v>
          </cell>
          <cell r="C38">
            <v>4.3520000000000003</v>
          </cell>
        </row>
        <row r="39">
          <cell r="A39" t="str">
            <v>Магазин43 (м.Боярка, вул Бульварна,буд 2/50)</v>
          </cell>
          <cell r="B39">
            <v>1.294</v>
          </cell>
          <cell r="C39">
            <v>2.3940000000000001</v>
          </cell>
        </row>
        <row r="40">
          <cell r="A40" t="str">
            <v>Розпод. центр Легіон (с.Білогородка, вул Аграрна, буд 1 А)</v>
          </cell>
        </row>
        <row r="41">
          <cell r="A41" t="str">
            <v>Розпод. центр Рідо (с.Білогородка, вул Аграрна, буд 1 А)</v>
          </cell>
        </row>
        <row r="42">
          <cell r="A42" t="str">
            <v>Цех заморож.напівфабрикатів(с.Софіївська Борщагівка,вул.Соборна,105/7,прим.201)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S42"/>
  <sheetViews>
    <sheetView tabSelected="1" workbookViewId="0">
      <selection activeCell="E7" sqref="E7"/>
    </sheetView>
  </sheetViews>
  <sheetFormatPr defaultColWidth="10.5" defaultRowHeight="11.45" customHeight="1" x14ac:dyDescent="0.2"/>
  <cols>
    <col min="1" max="1" width="70" style="1" customWidth="1"/>
    <col min="2" max="2" width="22.33203125" style="1" customWidth="1"/>
    <col min="3" max="5" width="15.6640625" style="1" customWidth="1"/>
    <col min="6" max="6" width="12.33203125" style="1" customWidth="1"/>
    <col min="7" max="7" width="22.33203125" style="1" customWidth="1"/>
    <col min="8" max="8" width="15.6640625" style="1" customWidth="1"/>
    <col min="9" max="9" width="13.83203125" style="1" customWidth="1"/>
    <col min="10" max="10" width="22.33203125" style="1" customWidth="1"/>
    <col min="11" max="11" width="15.6640625" style="1" customWidth="1"/>
    <col min="12" max="12" width="15.5" style="1" customWidth="1"/>
    <col min="13" max="13" width="22.33203125" style="1" customWidth="1"/>
    <col min="14" max="14" width="15.6640625" style="1" customWidth="1"/>
    <col min="15" max="15" width="15.5" style="1" customWidth="1"/>
    <col min="16" max="16" width="22.33203125" style="1" customWidth="1"/>
    <col min="17" max="17" width="15.6640625" style="1" customWidth="1"/>
    <col min="18" max="18" width="12.33203125" style="1" customWidth="1"/>
    <col min="19" max="19" width="22.33203125" style="1" customWidth="1"/>
    <col min="20" max="20" width="15.6640625" style="1" customWidth="1"/>
    <col min="21" max="21" width="15.5" style="1" customWidth="1"/>
    <col min="22" max="22" width="22.33203125" style="1" customWidth="1"/>
    <col min="23" max="23" width="15.6640625" style="1" customWidth="1"/>
    <col min="24" max="24" width="12.33203125" style="1" customWidth="1"/>
    <col min="25" max="25" width="22.33203125" style="1" customWidth="1"/>
    <col min="26" max="26" width="15.6640625" style="1" customWidth="1"/>
    <col min="27" max="27" width="15.5" style="1" customWidth="1"/>
    <col min="28" max="28" width="22.33203125" style="1" customWidth="1"/>
    <col min="29" max="29" width="15.6640625" style="1" customWidth="1"/>
    <col min="30" max="30" width="15.5" style="1" customWidth="1"/>
    <col min="31" max="31" width="22.33203125" style="1" customWidth="1"/>
    <col min="32" max="32" width="15.6640625" style="1" customWidth="1"/>
    <col min="33" max="33" width="12.33203125" style="1" customWidth="1"/>
    <col min="34" max="34" width="22.33203125" style="1" customWidth="1"/>
    <col min="35" max="35" width="15.6640625" style="1" customWidth="1"/>
    <col min="36" max="36" width="12.33203125" style="1" customWidth="1"/>
    <col min="37" max="37" width="22.33203125" style="1" customWidth="1"/>
    <col min="38" max="38" width="15.6640625" style="1" customWidth="1"/>
    <col min="39" max="39" width="12.33203125" style="1" customWidth="1"/>
    <col min="40" max="40" width="22.33203125" style="1" customWidth="1"/>
    <col min="41" max="41" width="15.6640625" style="1" customWidth="1"/>
    <col min="42" max="42" width="12.33203125" style="1" customWidth="1"/>
    <col min="43" max="43" width="22.33203125" style="1" customWidth="1"/>
    <col min="44" max="44" width="15.6640625" style="1" customWidth="1"/>
    <col min="45" max="45" width="13.5" style="1" customWidth="1"/>
  </cols>
  <sheetData>
    <row r="1" spans="1:45" ht="12.95" customHeight="1" x14ac:dyDescent="0.2">
      <c r="A1" s="19" t="s">
        <v>0</v>
      </c>
      <c r="B1" s="22">
        <v>45306</v>
      </c>
      <c r="C1" s="22"/>
      <c r="D1" s="22"/>
      <c r="E1" s="22"/>
      <c r="F1" s="22"/>
      <c r="G1" s="22">
        <v>56579</v>
      </c>
      <c r="H1" s="22"/>
      <c r="I1" s="22"/>
      <c r="J1" s="22">
        <v>64445</v>
      </c>
      <c r="K1" s="22"/>
      <c r="L1" s="22"/>
      <c r="M1" s="22">
        <v>63274</v>
      </c>
      <c r="N1" s="22"/>
      <c r="O1" s="22"/>
      <c r="P1" s="22">
        <v>63093</v>
      </c>
      <c r="Q1" s="22"/>
      <c r="R1" s="22"/>
      <c r="S1" s="22">
        <v>61183</v>
      </c>
      <c r="T1" s="22"/>
      <c r="U1" s="22"/>
      <c r="V1" s="22">
        <v>63630</v>
      </c>
      <c r="W1" s="22"/>
      <c r="X1" s="22"/>
      <c r="Y1" s="22">
        <v>22769</v>
      </c>
      <c r="Z1" s="22"/>
      <c r="AA1" s="22"/>
      <c r="AB1" s="22">
        <v>64322</v>
      </c>
      <c r="AC1" s="22"/>
      <c r="AD1" s="22"/>
      <c r="AE1" s="22">
        <v>50768</v>
      </c>
      <c r="AF1" s="22"/>
      <c r="AG1" s="22"/>
      <c r="AH1" s="22">
        <v>19129</v>
      </c>
      <c r="AI1" s="22"/>
      <c r="AJ1" s="22"/>
      <c r="AK1" s="22">
        <v>14286</v>
      </c>
      <c r="AL1" s="22"/>
      <c r="AM1" s="22"/>
      <c r="AN1" s="22">
        <v>11042</v>
      </c>
      <c r="AO1" s="22"/>
      <c r="AP1" s="22"/>
      <c r="AQ1" s="23" t="s">
        <v>1</v>
      </c>
      <c r="AR1" s="23"/>
      <c r="AS1" s="23"/>
    </row>
    <row r="2" spans="1:45" ht="26.1" customHeight="1" x14ac:dyDescent="0.2">
      <c r="A2" s="20"/>
      <c r="B2" s="28" t="s">
        <v>2</v>
      </c>
      <c r="C2" s="28"/>
      <c r="D2" s="28"/>
      <c r="E2" s="28"/>
      <c r="F2" s="28"/>
      <c r="G2" s="27" t="s">
        <v>3</v>
      </c>
      <c r="H2" s="27"/>
      <c r="I2" s="27"/>
      <c r="J2" s="27" t="s">
        <v>4</v>
      </c>
      <c r="K2" s="27"/>
      <c r="L2" s="27"/>
      <c r="M2" s="27" t="s">
        <v>5</v>
      </c>
      <c r="N2" s="27"/>
      <c r="O2" s="27"/>
      <c r="P2" s="27" t="s">
        <v>6</v>
      </c>
      <c r="Q2" s="27"/>
      <c r="R2" s="27"/>
      <c r="S2" s="27" t="s">
        <v>7</v>
      </c>
      <c r="T2" s="27"/>
      <c r="U2" s="27"/>
      <c r="V2" s="27" t="s">
        <v>8</v>
      </c>
      <c r="W2" s="27"/>
      <c r="X2" s="27"/>
      <c r="Y2" s="27" t="s">
        <v>9</v>
      </c>
      <c r="Z2" s="27"/>
      <c r="AA2" s="27"/>
      <c r="AB2" s="28" t="s">
        <v>10</v>
      </c>
      <c r="AC2" s="28"/>
      <c r="AD2" s="28"/>
      <c r="AE2" s="27" t="s">
        <v>11</v>
      </c>
      <c r="AF2" s="27"/>
      <c r="AG2" s="27"/>
      <c r="AH2" s="27" t="s">
        <v>12</v>
      </c>
      <c r="AI2" s="27"/>
      <c r="AJ2" s="27"/>
      <c r="AK2" s="27" t="s">
        <v>13</v>
      </c>
      <c r="AL2" s="27"/>
      <c r="AM2" s="27"/>
      <c r="AN2" s="27" t="s">
        <v>14</v>
      </c>
      <c r="AO2" s="27"/>
      <c r="AP2" s="27"/>
      <c r="AQ2" s="24"/>
      <c r="AR2" s="25"/>
      <c r="AS2" s="26"/>
    </row>
    <row r="3" spans="1:45" ht="38.1" customHeight="1" x14ac:dyDescent="0.2">
      <c r="A3" s="21"/>
      <c r="B3" s="2" t="s">
        <v>15</v>
      </c>
      <c r="C3" s="2" t="s">
        <v>56</v>
      </c>
      <c r="D3" s="2" t="s">
        <v>57</v>
      </c>
      <c r="E3" s="2" t="s">
        <v>58</v>
      </c>
      <c r="F3" s="2" t="s">
        <v>17</v>
      </c>
      <c r="G3" s="2" t="s">
        <v>15</v>
      </c>
      <c r="H3" s="2" t="s">
        <v>16</v>
      </c>
      <c r="I3" s="2" t="s">
        <v>17</v>
      </c>
      <c r="J3" s="2" t="s">
        <v>15</v>
      </c>
      <c r="K3" s="2" t="s">
        <v>16</v>
      </c>
      <c r="L3" s="2" t="s">
        <v>17</v>
      </c>
      <c r="M3" s="2" t="s">
        <v>15</v>
      </c>
      <c r="N3" s="2" t="s">
        <v>16</v>
      </c>
      <c r="O3" s="2" t="s">
        <v>17</v>
      </c>
      <c r="P3" s="2" t="s">
        <v>15</v>
      </c>
      <c r="Q3" s="2" t="s">
        <v>16</v>
      </c>
      <c r="R3" s="2" t="s">
        <v>17</v>
      </c>
      <c r="S3" s="2" t="s">
        <v>15</v>
      </c>
      <c r="T3" s="2" t="s">
        <v>16</v>
      </c>
      <c r="U3" s="2" t="s">
        <v>17</v>
      </c>
      <c r="V3" s="2" t="s">
        <v>15</v>
      </c>
      <c r="W3" s="2" t="s">
        <v>16</v>
      </c>
      <c r="X3" s="2" t="s">
        <v>17</v>
      </c>
      <c r="Y3" s="2" t="s">
        <v>15</v>
      </c>
      <c r="Z3" s="2" t="s">
        <v>16</v>
      </c>
      <c r="AA3" s="2" t="s">
        <v>17</v>
      </c>
      <c r="AB3" s="2" t="s">
        <v>15</v>
      </c>
      <c r="AC3" s="2" t="s">
        <v>16</v>
      </c>
      <c r="AD3" s="2" t="s">
        <v>17</v>
      </c>
      <c r="AE3" s="2" t="s">
        <v>15</v>
      </c>
      <c r="AF3" s="2" t="s">
        <v>16</v>
      </c>
      <c r="AG3" s="2" t="s">
        <v>17</v>
      </c>
      <c r="AH3" s="2" t="s">
        <v>15</v>
      </c>
      <c r="AI3" s="2" t="s">
        <v>16</v>
      </c>
      <c r="AJ3" s="2" t="s">
        <v>17</v>
      </c>
      <c r="AK3" s="2" t="s">
        <v>15</v>
      </c>
      <c r="AL3" s="2" t="s">
        <v>16</v>
      </c>
      <c r="AM3" s="2" t="s">
        <v>17</v>
      </c>
      <c r="AN3" s="2" t="s">
        <v>15</v>
      </c>
      <c r="AO3" s="2" t="s">
        <v>16</v>
      </c>
      <c r="AP3" s="2" t="s">
        <v>17</v>
      </c>
      <c r="AQ3" s="2" t="s">
        <v>15</v>
      </c>
      <c r="AR3" s="2" t="s">
        <v>16</v>
      </c>
      <c r="AS3" s="2" t="s">
        <v>17</v>
      </c>
    </row>
    <row r="4" spans="1:45" ht="11.1" customHeight="1" x14ac:dyDescent="0.2">
      <c r="A4" s="3" t="s">
        <v>18</v>
      </c>
      <c r="B4" s="4">
        <v>4.0229999999999997</v>
      </c>
      <c r="C4" s="4">
        <v>1.968</v>
      </c>
      <c r="D4" s="4">
        <f>VLOOKUP(A4:A41,[1]TDSheet!$A$4:$C$42,3,)</f>
        <v>4.8360000000000003</v>
      </c>
      <c r="E4" s="7">
        <f>D4/C4</f>
        <v>2.4573170731707319</v>
      </c>
      <c r="F4" s="5">
        <v>490.02</v>
      </c>
      <c r="G4" s="6"/>
      <c r="H4" s="6"/>
      <c r="I4" s="6"/>
      <c r="J4" s="7">
        <v>8</v>
      </c>
      <c r="K4" s="7">
        <v>2</v>
      </c>
      <c r="L4" s="5">
        <v>198.6</v>
      </c>
      <c r="M4" s="6"/>
      <c r="N4" s="6"/>
      <c r="O4" s="6"/>
      <c r="P4" s="7">
        <v>91</v>
      </c>
      <c r="Q4" s="7">
        <v>12</v>
      </c>
      <c r="R4" s="5">
        <v>394.8</v>
      </c>
      <c r="S4" s="7">
        <v>14</v>
      </c>
      <c r="T4" s="7">
        <v>2</v>
      </c>
      <c r="U4" s="5">
        <v>183.4</v>
      </c>
      <c r="V4" s="7">
        <v>30</v>
      </c>
      <c r="W4" s="7">
        <v>2</v>
      </c>
      <c r="X4" s="5">
        <v>153.19999999999999</v>
      </c>
      <c r="Y4" s="6"/>
      <c r="Z4" s="6"/>
      <c r="AA4" s="6"/>
      <c r="AB4" s="6"/>
      <c r="AC4" s="6"/>
      <c r="AD4" s="6"/>
      <c r="AE4" s="7">
        <v>14</v>
      </c>
      <c r="AF4" s="8"/>
      <c r="AG4" s="8"/>
      <c r="AH4" s="7">
        <v>57</v>
      </c>
      <c r="AI4" s="8"/>
      <c r="AJ4" s="8"/>
      <c r="AK4" s="4">
        <v>0.90600000000000003</v>
      </c>
      <c r="AL4" s="4">
        <v>1.782</v>
      </c>
      <c r="AM4" s="5">
        <v>674.49</v>
      </c>
      <c r="AN4" s="4">
        <v>6.4020000000000001</v>
      </c>
      <c r="AO4" s="4">
        <v>7.1999999999999995E-2</v>
      </c>
      <c r="AP4" s="5">
        <v>27.19</v>
      </c>
      <c r="AQ4" s="4">
        <v>225.33099999999999</v>
      </c>
      <c r="AR4" s="5">
        <v>21.82</v>
      </c>
      <c r="AS4" s="9">
        <v>2121.6999999999998</v>
      </c>
    </row>
    <row r="5" spans="1:45" ht="11.1" customHeight="1" x14ac:dyDescent="0.2">
      <c r="A5" s="3" t="s">
        <v>19</v>
      </c>
      <c r="B5" s="4">
        <v>3.056</v>
      </c>
      <c r="C5" s="4">
        <v>1.9239999999999999</v>
      </c>
      <c r="D5" s="4">
        <f>VLOOKUP(A5:A42,[1]TDSheet!$A$4:$C$42,3,)</f>
        <v>2.508</v>
      </c>
      <c r="E5" s="7">
        <f t="shared" ref="E5:E41" si="0">D5/C5</f>
        <v>1.3035343035343037</v>
      </c>
      <c r="F5" s="5">
        <v>479.08</v>
      </c>
      <c r="G5" s="8"/>
      <c r="H5" s="4">
        <v>2.1320000000000001</v>
      </c>
      <c r="I5" s="5">
        <v>829.36</v>
      </c>
      <c r="J5" s="7">
        <v>8</v>
      </c>
      <c r="K5" s="7">
        <v>1</v>
      </c>
      <c r="L5" s="5">
        <v>105.7</v>
      </c>
      <c r="M5" s="7">
        <v>44</v>
      </c>
      <c r="N5" s="7">
        <v>2</v>
      </c>
      <c r="O5" s="5">
        <v>132.6</v>
      </c>
      <c r="P5" s="7">
        <v>47</v>
      </c>
      <c r="Q5" s="8"/>
      <c r="R5" s="8"/>
      <c r="S5" s="7">
        <v>19</v>
      </c>
      <c r="T5" s="7">
        <v>2</v>
      </c>
      <c r="U5" s="5">
        <v>189.4</v>
      </c>
      <c r="V5" s="7">
        <v>15</v>
      </c>
      <c r="W5" s="7">
        <v>6</v>
      </c>
      <c r="X5" s="5">
        <v>459.6</v>
      </c>
      <c r="Y5" s="7">
        <v>4</v>
      </c>
      <c r="Z5" s="7">
        <v>1</v>
      </c>
      <c r="AA5" s="5">
        <v>25</v>
      </c>
      <c r="AB5" s="4">
        <v>0.36399999999999999</v>
      </c>
      <c r="AC5" s="4">
        <v>0.39800000000000002</v>
      </c>
      <c r="AD5" s="5">
        <v>119</v>
      </c>
      <c r="AE5" s="7">
        <v>13</v>
      </c>
      <c r="AF5" s="7">
        <v>5</v>
      </c>
      <c r="AG5" s="5">
        <v>473.5</v>
      </c>
      <c r="AH5" s="7">
        <v>25</v>
      </c>
      <c r="AI5" s="7">
        <v>4</v>
      </c>
      <c r="AJ5" s="5">
        <v>378.8</v>
      </c>
      <c r="AK5" s="4">
        <v>0.36799999999999999</v>
      </c>
      <c r="AL5" s="5">
        <v>0.83</v>
      </c>
      <c r="AM5" s="5">
        <v>314.14999999999998</v>
      </c>
      <c r="AN5" s="4">
        <v>6.6459999999999999</v>
      </c>
      <c r="AO5" s="4">
        <v>0.56799999999999995</v>
      </c>
      <c r="AP5" s="5">
        <v>223.11</v>
      </c>
      <c r="AQ5" s="4">
        <v>185.434</v>
      </c>
      <c r="AR5" s="5">
        <v>26.85</v>
      </c>
      <c r="AS5" s="9">
        <v>3729.3</v>
      </c>
    </row>
    <row r="6" spans="1:45" ht="11.1" customHeight="1" x14ac:dyDescent="0.2">
      <c r="A6" s="3" t="s">
        <v>20</v>
      </c>
      <c r="B6" s="4">
        <v>0.29399999999999998</v>
      </c>
      <c r="C6" s="4">
        <v>3.6059999999999999</v>
      </c>
      <c r="D6" s="4">
        <f>VLOOKUP(A6:A43,[1]TDSheet!$A$4:$C$42,3,)</f>
        <v>1.498</v>
      </c>
      <c r="E6" s="7">
        <f t="shared" si="0"/>
        <v>0.41541874653355521</v>
      </c>
      <c r="F6" s="5">
        <v>897.9</v>
      </c>
      <c r="G6" s="8"/>
      <c r="H6" s="4">
        <v>2.1459999999999999</v>
      </c>
      <c r="I6" s="5">
        <v>834.81</v>
      </c>
      <c r="J6" s="7">
        <v>10</v>
      </c>
      <c r="K6" s="8"/>
      <c r="L6" s="8"/>
      <c r="M6" s="7">
        <v>44</v>
      </c>
      <c r="N6" s="7">
        <v>2</v>
      </c>
      <c r="O6" s="5">
        <v>132.6</v>
      </c>
      <c r="P6" s="7">
        <v>82</v>
      </c>
      <c r="Q6" s="7">
        <v>1</v>
      </c>
      <c r="R6" s="5">
        <v>32.9</v>
      </c>
      <c r="S6" s="7">
        <v>11</v>
      </c>
      <c r="T6" s="7">
        <v>1</v>
      </c>
      <c r="U6" s="5">
        <v>94.7</v>
      </c>
      <c r="V6" s="7">
        <v>3</v>
      </c>
      <c r="W6" s="7">
        <v>7</v>
      </c>
      <c r="X6" s="5">
        <v>536.20000000000005</v>
      </c>
      <c r="Y6" s="7">
        <v>1</v>
      </c>
      <c r="Z6" s="7">
        <v>9</v>
      </c>
      <c r="AA6" s="5">
        <v>225</v>
      </c>
      <c r="AB6" s="4">
        <v>1.1579999999999999</v>
      </c>
      <c r="AC6" s="8"/>
      <c r="AD6" s="8"/>
      <c r="AE6" s="7">
        <v>15</v>
      </c>
      <c r="AF6" s="7">
        <v>3</v>
      </c>
      <c r="AG6" s="5">
        <v>284.10000000000002</v>
      </c>
      <c r="AH6" s="7">
        <v>34</v>
      </c>
      <c r="AI6" s="7">
        <v>5</v>
      </c>
      <c r="AJ6" s="5">
        <v>473.5</v>
      </c>
      <c r="AK6" s="8"/>
      <c r="AL6" s="4">
        <v>1.452</v>
      </c>
      <c r="AM6" s="5">
        <v>549.59</v>
      </c>
      <c r="AN6" s="4">
        <v>7.8220000000000001</v>
      </c>
      <c r="AO6" s="5">
        <v>7.0000000000000007E-2</v>
      </c>
      <c r="AP6" s="5">
        <v>27.5</v>
      </c>
      <c r="AQ6" s="4">
        <v>209.274</v>
      </c>
      <c r="AR6" s="5">
        <v>35.270000000000003</v>
      </c>
      <c r="AS6" s="9">
        <v>4088.8</v>
      </c>
    </row>
    <row r="7" spans="1:45" ht="11.1" customHeight="1" x14ac:dyDescent="0.2">
      <c r="A7" s="3" t="s">
        <v>21</v>
      </c>
      <c r="B7" s="8"/>
      <c r="C7" s="4">
        <v>0.60799999999999998</v>
      </c>
      <c r="D7" s="4">
        <f>VLOOKUP(A7:A44,[1]TDSheet!$A$4:$C$42,3,)</f>
        <v>2.0099999999999998</v>
      </c>
      <c r="E7" s="7">
        <f t="shared" si="0"/>
        <v>3.3059210526315788</v>
      </c>
      <c r="F7" s="5">
        <v>151.4</v>
      </c>
      <c r="G7" s="8"/>
      <c r="H7" s="5">
        <v>0.36</v>
      </c>
      <c r="I7" s="5">
        <v>140.04</v>
      </c>
      <c r="J7" s="7">
        <v>14</v>
      </c>
      <c r="K7" s="8"/>
      <c r="L7" s="8"/>
      <c r="M7" s="7">
        <v>29</v>
      </c>
      <c r="N7" s="7">
        <v>2</v>
      </c>
      <c r="O7" s="5">
        <v>132.6</v>
      </c>
      <c r="P7" s="7">
        <v>27</v>
      </c>
      <c r="Q7" s="8"/>
      <c r="R7" s="8"/>
      <c r="S7" s="7">
        <v>23</v>
      </c>
      <c r="T7" s="8"/>
      <c r="U7" s="8"/>
      <c r="V7" s="7">
        <v>3</v>
      </c>
      <c r="W7" s="7">
        <v>1</v>
      </c>
      <c r="X7" s="5">
        <v>76.599999999999994</v>
      </c>
      <c r="Y7" s="7">
        <v>2</v>
      </c>
      <c r="Z7" s="7">
        <v>6</v>
      </c>
      <c r="AA7" s="5">
        <v>150</v>
      </c>
      <c r="AB7" s="5">
        <v>0.78</v>
      </c>
      <c r="AC7" s="8"/>
      <c r="AD7" s="8"/>
      <c r="AE7" s="7">
        <v>23</v>
      </c>
      <c r="AF7" s="7">
        <v>1</v>
      </c>
      <c r="AG7" s="5">
        <v>94.7</v>
      </c>
      <c r="AH7" s="7">
        <v>34</v>
      </c>
      <c r="AI7" s="7">
        <v>2</v>
      </c>
      <c r="AJ7" s="5">
        <v>189.4</v>
      </c>
      <c r="AK7" s="4">
        <v>2E-3</v>
      </c>
      <c r="AL7" s="4">
        <v>2.1960000000000002</v>
      </c>
      <c r="AM7" s="5">
        <v>831.19</v>
      </c>
      <c r="AN7" s="4">
        <v>16.666</v>
      </c>
      <c r="AO7" s="8"/>
      <c r="AP7" s="8"/>
      <c r="AQ7" s="4">
        <v>172.44800000000001</v>
      </c>
      <c r="AR7" s="5">
        <v>15.16</v>
      </c>
      <c r="AS7" s="9">
        <v>1765.93</v>
      </c>
    </row>
    <row r="8" spans="1:45" ht="11.1" customHeight="1" x14ac:dyDescent="0.2">
      <c r="A8" s="3" t="s">
        <v>22</v>
      </c>
      <c r="B8" s="5">
        <v>0.54</v>
      </c>
      <c r="C8" s="5">
        <v>3.21</v>
      </c>
      <c r="D8" s="4">
        <f>VLOOKUP(A8:A45,[1]TDSheet!$A$4:$C$42,3,)</f>
        <v>3.1760000000000002</v>
      </c>
      <c r="E8" s="7">
        <f t="shared" si="0"/>
        <v>0.98940809968847354</v>
      </c>
      <c r="F8" s="5">
        <v>799.29</v>
      </c>
      <c r="G8" s="6"/>
      <c r="H8" s="6"/>
      <c r="I8" s="6"/>
      <c r="J8" s="7">
        <v>9</v>
      </c>
      <c r="K8" s="7">
        <v>3</v>
      </c>
      <c r="L8" s="5">
        <v>317.10000000000002</v>
      </c>
      <c r="M8" s="7">
        <v>91</v>
      </c>
      <c r="N8" s="7">
        <v>7</v>
      </c>
      <c r="O8" s="5">
        <v>464.1</v>
      </c>
      <c r="P8" s="7">
        <v>155</v>
      </c>
      <c r="Q8" s="7">
        <v>5</v>
      </c>
      <c r="R8" s="5">
        <v>164.5</v>
      </c>
      <c r="S8" s="7">
        <v>36</v>
      </c>
      <c r="T8" s="7">
        <v>7</v>
      </c>
      <c r="U8" s="5">
        <v>662.9</v>
      </c>
      <c r="V8" s="7">
        <v>48</v>
      </c>
      <c r="W8" s="8"/>
      <c r="X8" s="8"/>
      <c r="Y8" s="7">
        <v>4</v>
      </c>
      <c r="Z8" s="7">
        <v>23</v>
      </c>
      <c r="AA8" s="5">
        <v>575</v>
      </c>
      <c r="AB8" s="6"/>
      <c r="AC8" s="6"/>
      <c r="AD8" s="6"/>
      <c r="AE8" s="7">
        <v>39</v>
      </c>
      <c r="AF8" s="7">
        <v>12</v>
      </c>
      <c r="AG8" s="9">
        <v>1136.4000000000001</v>
      </c>
      <c r="AH8" s="7">
        <v>5</v>
      </c>
      <c r="AI8" s="8"/>
      <c r="AJ8" s="8"/>
      <c r="AK8" s="5">
        <v>1.21</v>
      </c>
      <c r="AL8" s="4">
        <v>3.1379999999999999</v>
      </c>
      <c r="AM8" s="9">
        <v>1187.74</v>
      </c>
      <c r="AN8" s="5">
        <v>21.32</v>
      </c>
      <c r="AO8" s="4">
        <v>0.81399999999999995</v>
      </c>
      <c r="AP8" s="5">
        <v>319.74</v>
      </c>
      <c r="AQ8" s="5">
        <v>410.07</v>
      </c>
      <c r="AR8" s="5">
        <v>64.16</v>
      </c>
      <c r="AS8" s="9">
        <v>5626.77</v>
      </c>
    </row>
    <row r="9" spans="1:45" ht="11.1" customHeight="1" x14ac:dyDescent="0.2">
      <c r="A9" s="3" t="s">
        <v>23</v>
      </c>
      <c r="B9" s="8"/>
      <c r="C9" s="4">
        <v>1.474</v>
      </c>
      <c r="D9" s="4">
        <f>VLOOKUP(A9:A46,[1]TDSheet!$A$4:$C$42,3,)</f>
        <v>1.1060000000000001</v>
      </c>
      <c r="E9" s="7">
        <f t="shared" si="0"/>
        <v>0.75033921302578022</v>
      </c>
      <c r="F9" s="5">
        <v>367.03</v>
      </c>
      <c r="G9" s="6"/>
      <c r="H9" s="6"/>
      <c r="I9" s="6"/>
      <c r="J9" s="7">
        <v>3</v>
      </c>
      <c r="K9" s="7">
        <v>4</v>
      </c>
      <c r="L9" s="5">
        <v>422.8</v>
      </c>
      <c r="M9" s="7">
        <v>29</v>
      </c>
      <c r="N9" s="8"/>
      <c r="O9" s="8"/>
      <c r="P9" s="7">
        <v>58</v>
      </c>
      <c r="Q9" s="7">
        <v>2</v>
      </c>
      <c r="R9" s="5">
        <v>65.8</v>
      </c>
      <c r="S9" s="7">
        <v>21</v>
      </c>
      <c r="T9" s="8"/>
      <c r="U9" s="8"/>
      <c r="V9" s="7">
        <v>2</v>
      </c>
      <c r="W9" s="7">
        <v>9</v>
      </c>
      <c r="X9" s="5">
        <v>689.4</v>
      </c>
      <c r="Y9" s="7">
        <v>2</v>
      </c>
      <c r="Z9" s="7">
        <v>6</v>
      </c>
      <c r="AA9" s="5">
        <v>150</v>
      </c>
      <c r="AB9" s="4">
        <v>1.0980000000000001</v>
      </c>
      <c r="AC9" s="8"/>
      <c r="AD9" s="8"/>
      <c r="AE9" s="7">
        <v>40</v>
      </c>
      <c r="AF9" s="7">
        <v>3</v>
      </c>
      <c r="AG9" s="5">
        <v>284.10000000000002</v>
      </c>
      <c r="AH9" s="7">
        <v>41</v>
      </c>
      <c r="AI9" s="7">
        <v>6</v>
      </c>
      <c r="AJ9" s="5">
        <v>568.20000000000005</v>
      </c>
      <c r="AK9" s="8"/>
      <c r="AL9" s="4">
        <v>1.5780000000000001</v>
      </c>
      <c r="AM9" s="5">
        <v>597.27</v>
      </c>
      <c r="AN9" s="4">
        <v>6.8339999999999996</v>
      </c>
      <c r="AO9" s="8"/>
      <c r="AP9" s="8"/>
      <c r="AQ9" s="4">
        <v>203.93199999999999</v>
      </c>
      <c r="AR9" s="5">
        <v>33.049999999999997</v>
      </c>
      <c r="AS9" s="9">
        <v>3144.6</v>
      </c>
    </row>
    <row r="10" spans="1:45" ht="11.1" customHeight="1" x14ac:dyDescent="0.2">
      <c r="A10" s="3" t="s">
        <v>24</v>
      </c>
      <c r="B10" s="4">
        <v>0.42399999999999999</v>
      </c>
      <c r="C10" s="5">
        <v>1.48</v>
      </c>
      <c r="D10" s="4">
        <f>VLOOKUP(A10:A47,[1]TDSheet!$A$4:$C$42,3,)</f>
        <v>2.8639999999999999</v>
      </c>
      <c r="E10" s="7">
        <f t="shared" si="0"/>
        <v>1.9351351351351351</v>
      </c>
      <c r="F10" s="5">
        <v>368.51</v>
      </c>
      <c r="G10" s="5">
        <v>1.76</v>
      </c>
      <c r="H10" s="4">
        <v>1.044</v>
      </c>
      <c r="I10" s="5">
        <v>406.12</v>
      </c>
      <c r="J10" s="7">
        <v>11</v>
      </c>
      <c r="K10" s="7">
        <v>8</v>
      </c>
      <c r="L10" s="5">
        <v>845.6</v>
      </c>
      <c r="M10" s="7">
        <v>10</v>
      </c>
      <c r="N10" s="7">
        <v>1</v>
      </c>
      <c r="O10" s="5">
        <v>66.3</v>
      </c>
      <c r="P10" s="7">
        <v>79</v>
      </c>
      <c r="Q10" s="7">
        <v>2</v>
      </c>
      <c r="R10" s="5">
        <v>65.8</v>
      </c>
      <c r="S10" s="7">
        <v>26</v>
      </c>
      <c r="T10" s="8"/>
      <c r="U10" s="8"/>
      <c r="V10" s="7">
        <v>22</v>
      </c>
      <c r="W10" s="8"/>
      <c r="X10" s="8"/>
      <c r="Y10" s="7">
        <v>1</v>
      </c>
      <c r="Z10" s="7">
        <v>14</v>
      </c>
      <c r="AA10" s="5">
        <v>350</v>
      </c>
      <c r="AB10" s="4">
        <v>2E-3</v>
      </c>
      <c r="AC10" s="8"/>
      <c r="AD10" s="8"/>
      <c r="AE10" s="7">
        <v>38</v>
      </c>
      <c r="AF10" s="7">
        <v>3</v>
      </c>
      <c r="AG10" s="5">
        <v>284.10000000000002</v>
      </c>
      <c r="AH10" s="7">
        <v>40</v>
      </c>
      <c r="AI10" s="7">
        <v>2</v>
      </c>
      <c r="AJ10" s="5">
        <v>189.4</v>
      </c>
      <c r="AK10" s="4">
        <v>4.0000000000000001E-3</v>
      </c>
      <c r="AL10" s="4">
        <v>2.4780000000000002</v>
      </c>
      <c r="AM10" s="5">
        <v>937.92</v>
      </c>
      <c r="AN10" s="4">
        <v>36.555999999999997</v>
      </c>
      <c r="AO10" s="4">
        <v>1.0920000000000001</v>
      </c>
      <c r="AP10" s="5">
        <v>428.93</v>
      </c>
      <c r="AQ10" s="4">
        <v>265.74599999999998</v>
      </c>
      <c r="AR10" s="5">
        <v>36.090000000000003</v>
      </c>
      <c r="AS10" s="9">
        <v>3942.68</v>
      </c>
    </row>
    <row r="11" spans="1:45" ht="11.1" customHeight="1" x14ac:dyDescent="0.2">
      <c r="A11" s="3" t="s">
        <v>25</v>
      </c>
      <c r="B11" s="4">
        <v>2.3820000000000001</v>
      </c>
      <c r="C11" s="4">
        <v>0.89600000000000002</v>
      </c>
      <c r="D11" s="4">
        <f>VLOOKUP(A11:A48,[1]TDSheet!$A$4:$C$42,3,)</f>
        <v>2.39</v>
      </c>
      <c r="E11" s="7">
        <f t="shared" si="0"/>
        <v>2.6674107142857144</v>
      </c>
      <c r="F11" s="5">
        <v>223.11</v>
      </c>
      <c r="G11" s="6"/>
      <c r="H11" s="6"/>
      <c r="I11" s="6"/>
      <c r="J11" s="7">
        <v>6</v>
      </c>
      <c r="K11" s="7">
        <v>1</v>
      </c>
      <c r="L11" s="5">
        <v>105.7</v>
      </c>
      <c r="M11" s="7">
        <v>59</v>
      </c>
      <c r="N11" s="8"/>
      <c r="O11" s="8"/>
      <c r="P11" s="7">
        <v>27</v>
      </c>
      <c r="Q11" s="8"/>
      <c r="R11" s="8"/>
      <c r="S11" s="7">
        <v>22</v>
      </c>
      <c r="T11" s="8"/>
      <c r="U11" s="8"/>
      <c r="V11" s="7">
        <v>10</v>
      </c>
      <c r="W11" s="7">
        <v>1</v>
      </c>
      <c r="X11" s="5">
        <v>76.599999999999994</v>
      </c>
      <c r="Y11" s="7">
        <v>2</v>
      </c>
      <c r="Z11" s="7">
        <v>5</v>
      </c>
      <c r="AA11" s="5">
        <v>125</v>
      </c>
      <c r="AB11" s="4">
        <v>0.35399999999999998</v>
      </c>
      <c r="AC11" s="8"/>
      <c r="AD11" s="8"/>
      <c r="AE11" s="7">
        <v>39</v>
      </c>
      <c r="AF11" s="8"/>
      <c r="AG11" s="8"/>
      <c r="AH11" s="7">
        <v>1</v>
      </c>
      <c r="AI11" s="8"/>
      <c r="AJ11" s="8"/>
      <c r="AK11" s="8"/>
      <c r="AL11" s="4">
        <v>3.1040000000000001</v>
      </c>
      <c r="AM11" s="9">
        <v>1174.8599999999999</v>
      </c>
      <c r="AN11" s="4">
        <v>30.728000000000002</v>
      </c>
      <c r="AO11" s="4">
        <v>0.504</v>
      </c>
      <c r="AP11" s="5">
        <v>197.97</v>
      </c>
      <c r="AQ11" s="4">
        <v>199.464</v>
      </c>
      <c r="AR11" s="10">
        <v>11.5</v>
      </c>
      <c r="AS11" s="9">
        <v>1903.24</v>
      </c>
    </row>
    <row r="12" spans="1:45" ht="11.1" customHeight="1" x14ac:dyDescent="0.2">
      <c r="A12" s="3" t="s">
        <v>26</v>
      </c>
      <c r="B12" s="8"/>
      <c r="C12" s="4">
        <v>2.0760000000000001</v>
      </c>
      <c r="D12" s="4">
        <f>VLOOKUP(A12:A49,[1]TDSheet!$A$4:$C$42,3,)</f>
        <v>3.92</v>
      </c>
      <c r="E12" s="7">
        <f t="shared" si="0"/>
        <v>1.8882466281310211</v>
      </c>
      <c r="F12" s="5">
        <v>516.91999999999996</v>
      </c>
      <c r="G12" s="4">
        <v>3.1560000000000001</v>
      </c>
      <c r="H12" s="4">
        <v>3.6080000000000001</v>
      </c>
      <c r="I12" s="9">
        <v>1403.5</v>
      </c>
      <c r="J12" s="7">
        <v>18</v>
      </c>
      <c r="K12" s="7">
        <v>3</v>
      </c>
      <c r="L12" s="5">
        <v>317.10000000000002</v>
      </c>
      <c r="M12" s="7">
        <v>101</v>
      </c>
      <c r="N12" s="8"/>
      <c r="O12" s="8"/>
      <c r="P12" s="7">
        <v>54</v>
      </c>
      <c r="Q12" s="7">
        <v>1</v>
      </c>
      <c r="R12" s="5">
        <v>32.9</v>
      </c>
      <c r="S12" s="7">
        <v>8</v>
      </c>
      <c r="T12" s="7">
        <v>1</v>
      </c>
      <c r="U12" s="5">
        <v>94.7</v>
      </c>
      <c r="V12" s="7">
        <v>19</v>
      </c>
      <c r="W12" s="7">
        <v>1</v>
      </c>
      <c r="X12" s="5">
        <v>76.599999999999994</v>
      </c>
      <c r="Y12" s="7">
        <v>6</v>
      </c>
      <c r="Z12" s="7">
        <v>13</v>
      </c>
      <c r="AA12" s="5">
        <v>325</v>
      </c>
      <c r="AB12" s="6"/>
      <c r="AC12" s="6"/>
      <c r="AD12" s="6"/>
      <c r="AE12" s="7">
        <v>23</v>
      </c>
      <c r="AF12" s="7">
        <v>1</v>
      </c>
      <c r="AG12" s="5">
        <v>94.7</v>
      </c>
      <c r="AH12" s="7">
        <v>43</v>
      </c>
      <c r="AI12" s="7">
        <v>5</v>
      </c>
      <c r="AJ12" s="5">
        <v>473.5</v>
      </c>
      <c r="AK12" s="4">
        <v>2E-3</v>
      </c>
      <c r="AL12" s="4">
        <v>1.732</v>
      </c>
      <c r="AM12" s="5">
        <v>655.57</v>
      </c>
      <c r="AN12" s="4">
        <v>16.852</v>
      </c>
      <c r="AO12" s="8"/>
      <c r="AP12" s="8"/>
      <c r="AQ12" s="5">
        <v>292.01</v>
      </c>
      <c r="AR12" s="5">
        <v>32.42</v>
      </c>
      <c r="AS12" s="9">
        <v>3990.49</v>
      </c>
    </row>
    <row r="13" spans="1:45" ht="11.1" customHeight="1" x14ac:dyDescent="0.2">
      <c r="A13" s="3" t="s">
        <v>27</v>
      </c>
      <c r="B13" s="6"/>
      <c r="C13" s="6"/>
      <c r="D13" s="4">
        <f>VLOOKUP(A13:A50,[1]TDSheet!$A$4:$C$42,3,)</f>
        <v>3.698</v>
      </c>
      <c r="E13" s="7" t="e">
        <f t="shared" si="0"/>
        <v>#DIV/0!</v>
      </c>
      <c r="F13" s="6"/>
      <c r="G13" s="8"/>
      <c r="H13" s="4">
        <v>1.454</v>
      </c>
      <c r="I13" s="5">
        <v>565.61</v>
      </c>
      <c r="J13" s="7">
        <v>13</v>
      </c>
      <c r="K13" s="8"/>
      <c r="L13" s="8"/>
      <c r="M13" s="7">
        <v>69</v>
      </c>
      <c r="N13" s="7">
        <v>1</v>
      </c>
      <c r="O13" s="5">
        <v>66.3</v>
      </c>
      <c r="P13" s="7">
        <v>7</v>
      </c>
      <c r="Q13" s="8"/>
      <c r="R13" s="8"/>
      <c r="S13" s="7">
        <v>25</v>
      </c>
      <c r="T13" s="7">
        <v>2</v>
      </c>
      <c r="U13" s="5">
        <v>189.4</v>
      </c>
      <c r="V13" s="7">
        <v>17</v>
      </c>
      <c r="W13" s="7">
        <v>6</v>
      </c>
      <c r="X13" s="5">
        <v>459.6</v>
      </c>
      <c r="Y13" s="6"/>
      <c r="Z13" s="6"/>
      <c r="AA13" s="6"/>
      <c r="AB13" s="8"/>
      <c r="AC13" s="8"/>
      <c r="AD13" s="8"/>
      <c r="AE13" s="7">
        <v>33</v>
      </c>
      <c r="AF13" s="7">
        <v>1</v>
      </c>
      <c r="AG13" s="5">
        <v>94.7</v>
      </c>
      <c r="AH13" s="7">
        <v>33</v>
      </c>
      <c r="AI13" s="7">
        <v>1</v>
      </c>
      <c r="AJ13" s="5">
        <v>94.7</v>
      </c>
      <c r="AK13" s="8"/>
      <c r="AL13" s="5">
        <v>2.98</v>
      </c>
      <c r="AM13" s="9">
        <v>1127.94</v>
      </c>
      <c r="AN13" s="4">
        <v>20.681999999999999</v>
      </c>
      <c r="AO13" s="4">
        <v>3.5999999999999997E-2</v>
      </c>
      <c r="AP13" s="5">
        <v>14.14</v>
      </c>
      <c r="AQ13" s="4">
        <v>217.68199999999999</v>
      </c>
      <c r="AR13" s="5">
        <v>15.47</v>
      </c>
      <c r="AS13" s="9">
        <v>2612.39</v>
      </c>
    </row>
    <row r="14" spans="1:45" ht="11.1" customHeight="1" x14ac:dyDescent="0.2">
      <c r="A14" s="3" t="s">
        <v>28</v>
      </c>
      <c r="B14" s="5">
        <v>0.88</v>
      </c>
      <c r="C14" s="4">
        <v>2.9079999999999999</v>
      </c>
      <c r="D14" s="4">
        <f>VLOOKUP(A14:A51,[1]TDSheet!$A$4:$C$42,3,)</f>
        <v>13.054</v>
      </c>
      <c r="E14" s="7">
        <f t="shared" si="0"/>
        <v>4.488995873452545</v>
      </c>
      <c r="F14" s="5">
        <v>724.09</v>
      </c>
      <c r="G14" s="4">
        <v>-0.54800000000000004</v>
      </c>
      <c r="H14" s="8"/>
      <c r="I14" s="8"/>
      <c r="J14" s="7">
        <v>-1</v>
      </c>
      <c r="K14" s="7">
        <v>8</v>
      </c>
      <c r="L14" s="5">
        <v>845.6</v>
      </c>
      <c r="M14" s="7">
        <v>245</v>
      </c>
      <c r="N14" s="7">
        <v>3</v>
      </c>
      <c r="O14" s="5">
        <v>198.9</v>
      </c>
      <c r="P14" s="7">
        <v>157</v>
      </c>
      <c r="Q14" s="7">
        <v>1</v>
      </c>
      <c r="R14" s="5">
        <v>32.9</v>
      </c>
      <c r="S14" s="7">
        <v>32</v>
      </c>
      <c r="T14" s="7">
        <v>1</v>
      </c>
      <c r="U14" s="5">
        <v>94.7</v>
      </c>
      <c r="V14" s="7">
        <v>9</v>
      </c>
      <c r="W14" s="8"/>
      <c r="X14" s="8"/>
      <c r="Y14" s="8"/>
      <c r="Z14" s="7">
        <v>5</v>
      </c>
      <c r="AA14" s="5">
        <v>125</v>
      </c>
      <c r="AB14" s="8"/>
      <c r="AC14" s="8"/>
      <c r="AD14" s="8"/>
      <c r="AE14" s="7">
        <v>60</v>
      </c>
      <c r="AF14" s="7">
        <v>5</v>
      </c>
      <c r="AG14" s="5">
        <v>473.5</v>
      </c>
      <c r="AH14" s="8"/>
      <c r="AI14" s="7">
        <v>2</v>
      </c>
      <c r="AJ14" s="5">
        <v>189.4</v>
      </c>
      <c r="AK14" s="8"/>
      <c r="AL14" s="4">
        <v>1.1679999999999999</v>
      </c>
      <c r="AM14" s="5">
        <v>442.09</v>
      </c>
      <c r="AN14" s="4">
        <v>2.0579999999999998</v>
      </c>
      <c r="AO14" s="4">
        <v>0.78600000000000003</v>
      </c>
      <c r="AP14" s="5">
        <v>308.74</v>
      </c>
      <c r="AQ14" s="5">
        <v>504.39</v>
      </c>
      <c r="AR14" s="5">
        <v>29.86</v>
      </c>
      <c r="AS14" s="9">
        <v>3434.92</v>
      </c>
    </row>
    <row r="15" spans="1:45" ht="11.1" customHeight="1" x14ac:dyDescent="0.2">
      <c r="A15" s="3" t="s">
        <v>29</v>
      </c>
      <c r="B15" s="8"/>
      <c r="C15" s="4">
        <v>0.91200000000000003</v>
      </c>
      <c r="D15" s="4">
        <f>VLOOKUP(A15:A52,[1]TDSheet!$A$4:$C$42,3,)</f>
        <v>0</v>
      </c>
      <c r="E15" s="7">
        <f t="shared" si="0"/>
        <v>0</v>
      </c>
      <c r="F15" s="5">
        <v>227.09</v>
      </c>
      <c r="G15" s="6"/>
      <c r="H15" s="6"/>
      <c r="I15" s="6"/>
      <c r="J15" s="7">
        <v>9</v>
      </c>
      <c r="K15" s="7">
        <v>1</v>
      </c>
      <c r="L15" s="5">
        <v>105.7</v>
      </c>
      <c r="M15" s="7">
        <v>142</v>
      </c>
      <c r="N15" s="7">
        <v>5</v>
      </c>
      <c r="O15" s="5">
        <v>331.5</v>
      </c>
      <c r="P15" s="7">
        <v>51</v>
      </c>
      <c r="Q15" s="7">
        <v>8</v>
      </c>
      <c r="R15" s="5">
        <v>263.2</v>
      </c>
      <c r="S15" s="7">
        <v>18</v>
      </c>
      <c r="T15" s="8"/>
      <c r="U15" s="8"/>
      <c r="V15" s="8"/>
      <c r="W15" s="7">
        <v>1</v>
      </c>
      <c r="X15" s="5">
        <v>76.599999999999994</v>
      </c>
      <c r="Y15" s="7">
        <v>1</v>
      </c>
      <c r="Z15" s="7">
        <v>14</v>
      </c>
      <c r="AA15" s="5">
        <v>350</v>
      </c>
      <c r="AB15" s="6"/>
      <c r="AC15" s="6"/>
      <c r="AD15" s="6"/>
      <c r="AE15" s="7">
        <v>43</v>
      </c>
      <c r="AF15" s="8"/>
      <c r="AG15" s="8"/>
      <c r="AH15" s="7">
        <v>32</v>
      </c>
      <c r="AI15" s="7">
        <v>6</v>
      </c>
      <c r="AJ15" s="5">
        <v>568.20000000000005</v>
      </c>
      <c r="AK15" s="4">
        <v>0.35399999999999998</v>
      </c>
      <c r="AL15" s="4">
        <v>2.0920000000000001</v>
      </c>
      <c r="AM15" s="5">
        <v>791.82</v>
      </c>
      <c r="AN15" s="4">
        <v>30.024000000000001</v>
      </c>
      <c r="AO15" s="4">
        <v>0.106</v>
      </c>
      <c r="AP15" s="5">
        <v>41.64</v>
      </c>
      <c r="AQ15" s="4">
        <v>326.37799999999999</v>
      </c>
      <c r="AR15" s="5">
        <v>38.11</v>
      </c>
      <c r="AS15" s="9">
        <v>2755.75</v>
      </c>
    </row>
    <row r="16" spans="1:45" ht="11.1" customHeight="1" x14ac:dyDescent="0.2">
      <c r="A16" s="3" t="s">
        <v>30</v>
      </c>
      <c r="B16" s="4">
        <v>0.27600000000000002</v>
      </c>
      <c r="C16" s="5">
        <v>3.12</v>
      </c>
      <c r="D16" s="4">
        <f>VLOOKUP(A16:A53,[1]TDSheet!$A$4:$C$42,3,)</f>
        <v>4.12</v>
      </c>
      <c r="E16" s="7">
        <f t="shared" si="0"/>
        <v>1.3205128205128205</v>
      </c>
      <c r="F16" s="5">
        <v>776.88</v>
      </c>
      <c r="G16" s="4">
        <v>2.3620000000000001</v>
      </c>
      <c r="H16" s="4">
        <v>3.2040000000000002</v>
      </c>
      <c r="I16" s="9">
        <v>1175.75</v>
      </c>
      <c r="J16" s="7">
        <v>11</v>
      </c>
      <c r="K16" s="7">
        <v>1</v>
      </c>
      <c r="L16" s="5">
        <v>105.7</v>
      </c>
      <c r="M16" s="7">
        <v>96</v>
      </c>
      <c r="N16" s="7">
        <v>4</v>
      </c>
      <c r="O16" s="5">
        <v>265.2</v>
      </c>
      <c r="P16" s="7">
        <v>75</v>
      </c>
      <c r="Q16" s="7">
        <v>3</v>
      </c>
      <c r="R16" s="5">
        <v>98.7</v>
      </c>
      <c r="S16" s="7">
        <v>25</v>
      </c>
      <c r="T16" s="7">
        <v>1</v>
      </c>
      <c r="U16" s="5">
        <v>94.7</v>
      </c>
      <c r="V16" s="7">
        <v>63</v>
      </c>
      <c r="W16" s="7">
        <v>2</v>
      </c>
      <c r="X16" s="5">
        <v>153.19999999999999</v>
      </c>
      <c r="Y16" s="6"/>
      <c r="Z16" s="6"/>
      <c r="AA16" s="6"/>
      <c r="AB16" s="6"/>
      <c r="AC16" s="6"/>
      <c r="AD16" s="6"/>
      <c r="AE16" s="7">
        <v>36</v>
      </c>
      <c r="AF16" s="7">
        <v>4</v>
      </c>
      <c r="AG16" s="5">
        <v>378.8</v>
      </c>
      <c r="AH16" s="7">
        <v>40</v>
      </c>
      <c r="AI16" s="7">
        <v>3</v>
      </c>
      <c r="AJ16" s="5">
        <v>284.10000000000002</v>
      </c>
      <c r="AK16" s="8"/>
      <c r="AL16" s="4">
        <v>2.766</v>
      </c>
      <c r="AM16" s="9">
        <v>1046.94</v>
      </c>
      <c r="AN16" s="4">
        <v>27.431999999999999</v>
      </c>
      <c r="AO16" s="4">
        <v>0.57399999999999995</v>
      </c>
      <c r="AP16" s="5">
        <v>225.48</v>
      </c>
      <c r="AQ16" s="5">
        <v>376.07</v>
      </c>
      <c r="AR16" s="5">
        <v>27.66</v>
      </c>
      <c r="AS16" s="9">
        <v>4605.45</v>
      </c>
    </row>
    <row r="17" spans="1:45" ht="11.1" customHeight="1" x14ac:dyDescent="0.2">
      <c r="A17" s="3" t="s">
        <v>31</v>
      </c>
      <c r="B17" s="4">
        <v>0.57599999999999996</v>
      </c>
      <c r="C17" s="4">
        <v>2.1280000000000001</v>
      </c>
      <c r="D17" s="4">
        <f>VLOOKUP(A17:A54,[1]TDSheet!$A$4:$C$42,3,)</f>
        <v>4.3579999999999997</v>
      </c>
      <c r="E17" s="7">
        <f t="shared" si="0"/>
        <v>2.0479323308270674</v>
      </c>
      <c r="F17" s="5">
        <v>529.86</v>
      </c>
      <c r="G17" s="4">
        <v>1.2E-2</v>
      </c>
      <c r="H17" s="4">
        <v>1.0940000000000001</v>
      </c>
      <c r="I17" s="5">
        <v>425.56</v>
      </c>
      <c r="J17" s="7">
        <v>11</v>
      </c>
      <c r="K17" s="8"/>
      <c r="L17" s="8"/>
      <c r="M17" s="7">
        <v>76</v>
      </c>
      <c r="N17" s="7">
        <v>3</v>
      </c>
      <c r="O17" s="5">
        <v>198.9</v>
      </c>
      <c r="P17" s="7">
        <v>88</v>
      </c>
      <c r="Q17" s="7">
        <v>1</v>
      </c>
      <c r="R17" s="5">
        <v>32.9</v>
      </c>
      <c r="S17" s="7">
        <v>33</v>
      </c>
      <c r="T17" s="7">
        <v>2</v>
      </c>
      <c r="U17" s="5">
        <v>189.4</v>
      </c>
      <c r="V17" s="7">
        <v>16</v>
      </c>
      <c r="W17" s="7">
        <v>1</v>
      </c>
      <c r="X17" s="5">
        <v>76.599999999999994</v>
      </c>
      <c r="Y17" s="8"/>
      <c r="Z17" s="7">
        <v>6</v>
      </c>
      <c r="AA17" s="5">
        <v>150</v>
      </c>
      <c r="AB17" s="4">
        <v>0.36799999999999999</v>
      </c>
      <c r="AC17" s="8"/>
      <c r="AD17" s="8"/>
      <c r="AE17" s="7">
        <v>37</v>
      </c>
      <c r="AF17" s="7">
        <v>1</v>
      </c>
      <c r="AG17" s="5">
        <v>94.7</v>
      </c>
      <c r="AH17" s="7">
        <v>39</v>
      </c>
      <c r="AI17" s="7">
        <v>2</v>
      </c>
      <c r="AJ17" s="5">
        <v>189.4</v>
      </c>
      <c r="AK17" s="4">
        <v>0.504</v>
      </c>
      <c r="AL17" s="4">
        <v>2.306</v>
      </c>
      <c r="AM17" s="5">
        <v>872.83</v>
      </c>
      <c r="AN17" s="4">
        <v>6.6180000000000003</v>
      </c>
      <c r="AO17" s="8"/>
      <c r="AP17" s="8"/>
      <c r="AQ17" s="4">
        <v>308.07799999999997</v>
      </c>
      <c r="AR17" s="5">
        <v>21.53</v>
      </c>
      <c r="AS17" s="9">
        <v>2760.15</v>
      </c>
    </row>
    <row r="18" spans="1:45" ht="11.1" customHeight="1" x14ac:dyDescent="0.2">
      <c r="A18" s="3" t="s">
        <v>32</v>
      </c>
      <c r="B18" s="8"/>
      <c r="C18" s="4">
        <v>1.032</v>
      </c>
      <c r="D18" s="4">
        <f>VLOOKUP(A18:A55,[1]TDSheet!$A$4:$C$42,3,)</f>
        <v>1.792</v>
      </c>
      <c r="E18" s="7">
        <f t="shared" si="0"/>
        <v>1.7364341085271318</v>
      </c>
      <c r="F18" s="5">
        <v>256.95999999999998</v>
      </c>
      <c r="G18" s="6"/>
      <c r="H18" s="6"/>
      <c r="I18" s="6"/>
      <c r="J18" s="7">
        <v>8</v>
      </c>
      <c r="K18" s="8"/>
      <c r="L18" s="8"/>
      <c r="M18" s="7">
        <v>37</v>
      </c>
      <c r="N18" s="8"/>
      <c r="O18" s="8"/>
      <c r="P18" s="7">
        <v>45</v>
      </c>
      <c r="Q18" s="8"/>
      <c r="R18" s="8"/>
      <c r="S18" s="7">
        <v>24</v>
      </c>
      <c r="T18" s="8"/>
      <c r="U18" s="8"/>
      <c r="V18" s="7">
        <v>22</v>
      </c>
      <c r="W18" s="7">
        <v>2</v>
      </c>
      <c r="X18" s="5">
        <v>153.19999999999999</v>
      </c>
      <c r="Y18" s="8"/>
      <c r="Z18" s="7">
        <v>2</v>
      </c>
      <c r="AA18" s="5">
        <v>50</v>
      </c>
      <c r="AB18" s="4">
        <v>1.1559999999999999</v>
      </c>
      <c r="AC18" s="8"/>
      <c r="AD18" s="8"/>
      <c r="AE18" s="7">
        <v>14</v>
      </c>
      <c r="AF18" s="8"/>
      <c r="AG18" s="8"/>
      <c r="AH18" s="7">
        <v>21</v>
      </c>
      <c r="AI18" s="7">
        <v>2</v>
      </c>
      <c r="AJ18" s="5">
        <v>189.4</v>
      </c>
      <c r="AK18" s="6"/>
      <c r="AL18" s="6"/>
      <c r="AM18" s="6"/>
      <c r="AN18" s="4">
        <v>6.7060000000000004</v>
      </c>
      <c r="AO18" s="8"/>
      <c r="AP18" s="8"/>
      <c r="AQ18" s="4">
        <v>178.86199999999999</v>
      </c>
      <c r="AR18" s="5">
        <v>7.03</v>
      </c>
      <c r="AS18" s="5">
        <v>649.55999999999995</v>
      </c>
    </row>
    <row r="19" spans="1:45" ht="11.1" customHeight="1" x14ac:dyDescent="0.2">
      <c r="A19" s="3" t="s">
        <v>33</v>
      </c>
      <c r="B19" s="4">
        <v>0.77200000000000002</v>
      </c>
      <c r="C19" s="4">
        <v>0.91600000000000004</v>
      </c>
      <c r="D19" s="4">
        <f>VLOOKUP(A19:A56,[1]TDSheet!$A$4:$C$42,3,)</f>
        <v>0</v>
      </c>
      <c r="E19" s="7">
        <f t="shared" si="0"/>
        <v>0</v>
      </c>
      <c r="F19" s="5">
        <v>228.09</v>
      </c>
      <c r="G19" s="6"/>
      <c r="H19" s="6"/>
      <c r="I19" s="6"/>
      <c r="J19" s="7">
        <v>10</v>
      </c>
      <c r="K19" s="8"/>
      <c r="L19" s="8"/>
      <c r="M19" s="7">
        <v>36</v>
      </c>
      <c r="N19" s="7">
        <v>4</v>
      </c>
      <c r="O19" s="5">
        <v>265.2</v>
      </c>
      <c r="P19" s="7">
        <v>49</v>
      </c>
      <c r="Q19" s="7">
        <v>1</v>
      </c>
      <c r="R19" s="5">
        <v>32.9</v>
      </c>
      <c r="S19" s="7">
        <v>29</v>
      </c>
      <c r="T19" s="8"/>
      <c r="U19" s="8"/>
      <c r="V19" s="7">
        <v>15</v>
      </c>
      <c r="W19" s="7">
        <v>7</v>
      </c>
      <c r="X19" s="5">
        <v>536.20000000000005</v>
      </c>
      <c r="Y19" s="8"/>
      <c r="Z19" s="7">
        <v>4</v>
      </c>
      <c r="AA19" s="5">
        <v>100</v>
      </c>
      <c r="AB19" s="4">
        <v>0.36799999999999999</v>
      </c>
      <c r="AC19" s="8"/>
      <c r="AD19" s="8"/>
      <c r="AE19" s="7">
        <v>23</v>
      </c>
      <c r="AF19" s="7">
        <v>4</v>
      </c>
      <c r="AG19" s="5">
        <v>378.8</v>
      </c>
      <c r="AH19" s="7">
        <v>5</v>
      </c>
      <c r="AI19" s="8"/>
      <c r="AJ19" s="8"/>
      <c r="AK19" s="5">
        <v>0.49</v>
      </c>
      <c r="AL19" s="4">
        <v>0.48799999999999999</v>
      </c>
      <c r="AM19" s="5">
        <v>184.71</v>
      </c>
      <c r="AN19" s="7">
        <v>18</v>
      </c>
      <c r="AO19" s="4">
        <v>3.5999999999999997E-2</v>
      </c>
      <c r="AP19" s="5">
        <v>14.14</v>
      </c>
      <c r="AQ19" s="5">
        <v>186.63</v>
      </c>
      <c r="AR19" s="5">
        <v>21.44</v>
      </c>
      <c r="AS19" s="9">
        <v>1740.04</v>
      </c>
    </row>
    <row r="20" spans="1:45" ht="11.1" customHeight="1" x14ac:dyDescent="0.2">
      <c r="A20" s="3" t="s">
        <v>34</v>
      </c>
      <c r="B20" s="4">
        <v>4.5359999999999996</v>
      </c>
      <c r="C20" s="4">
        <v>3.298</v>
      </c>
      <c r="D20" s="4">
        <f>VLOOKUP(A20:A57,[1]TDSheet!$A$4:$C$42,3,)</f>
        <v>4.7619999999999996</v>
      </c>
      <c r="E20" s="7">
        <f t="shared" si="0"/>
        <v>1.4439053972104303</v>
      </c>
      <c r="F20" s="5">
        <v>821.19</v>
      </c>
      <c r="G20" s="4">
        <v>0.32600000000000001</v>
      </c>
      <c r="H20" s="4">
        <v>0.68200000000000005</v>
      </c>
      <c r="I20" s="5">
        <v>265.3</v>
      </c>
      <c r="J20" s="7">
        <v>8</v>
      </c>
      <c r="K20" s="8"/>
      <c r="L20" s="8"/>
      <c r="M20" s="7">
        <v>76</v>
      </c>
      <c r="N20" s="8"/>
      <c r="O20" s="8"/>
      <c r="P20" s="7">
        <v>49</v>
      </c>
      <c r="Q20" s="8"/>
      <c r="R20" s="8"/>
      <c r="S20" s="7">
        <v>26</v>
      </c>
      <c r="T20" s="8"/>
      <c r="U20" s="8"/>
      <c r="V20" s="7">
        <v>13</v>
      </c>
      <c r="W20" s="7">
        <v>1</v>
      </c>
      <c r="X20" s="5">
        <v>76.599999999999994</v>
      </c>
      <c r="Y20" s="7">
        <v>4</v>
      </c>
      <c r="Z20" s="7">
        <v>13</v>
      </c>
      <c r="AA20" s="5">
        <v>325</v>
      </c>
      <c r="AB20" s="6"/>
      <c r="AC20" s="6"/>
      <c r="AD20" s="6"/>
      <c r="AE20" s="7">
        <v>33</v>
      </c>
      <c r="AF20" s="7">
        <v>2</v>
      </c>
      <c r="AG20" s="5">
        <v>189.4</v>
      </c>
      <c r="AH20" s="7">
        <v>4</v>
      </c>
      <c r="AI20" s="7">
        <v>1</v>
      </c>
      <c r="AJ20" s="5">
        <v>94.7</v>
      </c>
      <c r="AK20" s="8"/>
      <c r="AL20" s="4">
        <v>6.4740000000000002</v>
      </c>
      <c r="AM20" s="9">
        <v>2450.42</v>
      </c>
      <c r="AN20" s="4">
        <v>9.0839999999999996</v>
      </c>
      <c r="AO20" s="4">
        <v>0.246</v>
      </c>
      <c r="AP20" s="5">
        <v>96.63</v>
      </c>
      <c r="AQ20" s="4">
        <v>226.946</v>
      </c>
      <c r="AR20" s="10">
        <v>27.7</v>
      </c>
      <c r="AS20" s="9">
        <v>4319.24</v>
      </c>
    </row>
    <row r="21" spans="1:45" ht="11.1" customHeight="1" x14ac:dyDescent="0.2">
      <c r="A21" s="3" t="s">
        <v>35</v>
      </c>
      <c r="B21" s="6"/>
      <c r="C21" s="6"/>
      <c r="D21" s="4">
        <f>VLOOKUP(A21:A58,[1]TDSheet!$A$4:$C$42,3,)</f>
        <v>1.9359999999999999</v>
      </c>
      <c r="E21" s="7" t="e">
        <f t="shared" si="0"/>
        <v>#DIV/0!</v>
      </c>
      <c r="F21" s="6"/>
      <c r="G21" s="6"/>
      <c r="H21" s="6"/>
      <c r="I21" s="6"/>
      <c r="J21" s="7">
        <v>10</v>
      </c>
      <c r="K21" s="7">
        <v>3</v>
      </c>
      <c r="L21" s="5">
        <v>317.10000000000002</v>
      </c>
      <c r="M21" s="7">
        <v>68</v>
      </c>
      <c r="N21" s="7">
        <v>3</v>
      </c>
      <c r="O21" s="5">
        <v>198.9</v>
      </c>
      <c r="P21" s="7">
        <v>104</v>
      </c>
      <c r="Q21" s="7">
        <v>1</v>
      </c>
      <c r="R21" s="5">
        <v>32.9</v>
      </c>
      <c r="S21" s="7">
        <v>31</v>
      </c>
      <c r="T21" s="7">
        <v>1</v>
      </c>
      <c r="U21" s="5">
        <v>94.7</v>
      </c>
      <c r="V21" s="7">
        <v>23</v>
      </c>
      <c r="W21" s="7">
        <v>1</v>
      </c>
      <c r="X21" s="5">
        <v>76.599999999999994</v>
      </c>
      <c r="Y21" s="8"/>
      <c r="Z21" s="7">
        <v>4</v>
      </c>
      <c r="AA21" s="5">
        <v>100</v>
      </c>
      <c r="AB21" s="6"/>
      <c r="AC21" s="6"/>
      <c r="AD21" s="6"/>
      <c r="AE21" s="7">
        <v>39</v>
      </c>
      <c r="AF21" s="7">
        <v>4</v>
      </c>
      <c r="AG21" s="5">
        <v>378.8</v>
      </c>
      <c r="AH21" s="7">
        <v>40</v>
      </c>
      <c r="AI21" s="8"/>
      <c r="AJ21" s="8"/>
      <c r="AK21" s="4">
        <v>2E-3</v>
      </c>
      <c r="AL21" s="4">
        <v>2.032</v>
      </c>
      <c r="AM21" s="5">
        <v>769.12</v>
      </c>
      <c r="AN21" s="4">
        <v>26.026</v>
      </c>
      <c r="AO21" s="5">
        <v>0.54</v>
      </c>
      <c r="AP21" s="5">
        <v>212.11</v>
      </c>
      <c r="AQ21" s="4">
        <v>341.02800000000002</v>
      </c>
      <c r="AR21" s="5">
        <v>19.57</v>
      </c>
      <c r="AS21" s="9">
        <v>2180.23</v>
      </c>
    </row>
    <row r="22" spans="1:45" ht="11.1" customHeight="1" x14ac:dyDescent="0.2">
      <c r="A22" s="3" t="s">
        <v>36</v>
      </c>
      <c r="B22" s="6"/>
      <c r="C22" s="6"/>
      <c r="D22" s="4">
        <f>VLOOKUP(A22:A59,[1]TDSheet!$A$4:$C$42,3,)</f>
        <v>3.07</v>
      </c>
      <c r="E22" s="7" t="e">
        <f t="shared" si="0"/>
        <v>#DIV/0!</v>
      </c>
      <c r="F22" s="6"/>
      <c r="G22" s="8"/>
      <c r="H22" s="5">
        <v>3.16</v>
      </c>
      <c r="I22" s="9">
        <v>1229.26</v>
      </c>
      <c r="J22" s="7">
        <v>9</v>
      </c>
      <c r="K22" s="8"/>
      <c r="L22" s="8"/>
      <c r="M22" s="7">
        <v>96</v>
      </c>
      <c r="N22" s="7">
        <v>3</v>
      </c>
      <c r="O22" s="5">
        <v>198.9</v>
      </c>
      <c r="P22" s="7">
        <v>75</v>
      </c>
      <c r="Q22" s="7">
        <v>3</v>
      </c>
      <c r="R22" s="5">
        <v>98.7</v>
      </c>
      <c r="S22" s="7">
        <v>31</v>
      </c>
      <c r="T22" s="7">
        <v>2</v>
      </c>
      <c r="U22" s="5">
        <v>189.4</v>
      </c>
      <c r="V22" s="7">
        <v>12</v>
      </c>
      <c r="W22" s="7">
        <v>8</v>
      </c>
      <c r="X22" s="5">
        <v>612.79999999999995</v>
      </c>
      <c r="Y22" s="6"/>
      <c r="Z22" s="6"/>
      <c r="AA22" s="6"/>
      <c r="AB22" s="6"/>
      <c r="AC22" s="6"/>
      <c r="AD22" s="6"/>
      <c r="AE22" s="7">
        <v>34</v>
      </c>
      <c r="AF22" s="7">
        <v>1</v>
      </c>
      <c r="AG22" s="5">
        <v>94.7</v>
      </c>
      <c r="AH22" s="7">
        <v>40</v>
      </c>
      <c r="AI22" s="8"/>
      <c r="AJ22" s="8"/>
      <c r="AK22" s="4">
        <v>2E-3</v>
      </c>
      <c r="AL22" s="5">
        <v>2.41</v>
      </c>
      <c r="AM22" s="5">
        <v>912.19</v>
      </c>
      <c r="AN22" s="4">
        <v>14.178000000000001</v>
      </c>
      <c r="AO22" s="4">
        <v>0.106</v>
      </c>
      <c r="AP22" s="5">
        <v>41.64</v>
      </c>
      <c r="AQ22" s="5">
        <v>311.18</v>
      </c>
      <c r="AR22" s="5">
        <v>22.68</v>
      </c>
      <c r="AS22" s="9">
        <v>3377.59</v>
      </c>
    </row>
    <row r="23" spans="1:45" ht="11.1" customHeight="1" x14ac:dyDescent="0.2">
      <c r="A23" s="3" t="s">
        <v>37</v>
      </c>
      <c r="B23" s="8"/>
      <c r="C23" s="4">
        <v>19.265999999999998</v>
      </c>
      <c r="D23" s="4">
        <f>VLOOKUP(A23:A60,[1]TDSheet!$A$4:$C$42,3,)</f>
        <v>33.954000000000001</v>
      </c>
      <c r="E23" s="7">
        <f t="shared" si="0"/>
        <v>1.7623793210837748</v>
      </c>
      <c r="F23" s="9">
        <v>4797.2299999999996</v>
      </c>
      <c r="G23" s="4">
        <v>1.452</v>
      </c>
      <c r="H23" s="4">
        <v>1.462</v>
      </c>
      <c r="I23" s="5">
        <v>568.72</v>
      </c>
      <c r="J23" s="7">
        <v>7</v>
      </c>
      <c r="K23" s="7">
        <v>2</v>
      </c>
      <c r="L23" s="5">
        <v>211.4</v>
      </c>
      <c r="M23" s="7">
        <v>191</v>
      </c>
      <c r="N23" s="7">
        <v>1</v>
      </c>
      <c r="O23" s="5">
        <v>62.99</v>
      </c>
      <c r="P23" s="7">
        <v>86</v>
      </c>
      <c r="Q23" s="7">
        <v>6</v>
      </c>
      <c r="R23" s="5">
        <v>197.4</v>
      </c>
      <c r="S23" s="7">
        <v>43</v>
      </c>
      <c r="T23" s="7">
        <v>2</v>
      </c>
      <c r="U23" s="5">
        <v>189.4</v>
      </c>
      <c r="V23" s="7">
        <v>144</v>
      </c>
      <c r="W23" s="7">
        <v>2</v>
      </c>
      <c r="X23" s="5">
        <v>153.19999999999999</v>
      </c>
      <c r="Y23" s="8"/>
      <c r="Z23" s="7">
        <v>18</v>
      </c>
      <c r="AA23" s="5">
        <v>450</v>
      </c>
      <c r="AB23" s="8"/>
      <c r="AC23" s="4">
        <v>1.026</v>
      </c>
      <c r="AD23" s="5">
        <v>306.77</v>
      </c>
      <c r="AE23" s="7">
        <v>67</v>
      </c>
      <c r="AF23" s="7">
        <v>4</v>
      </c>
      <c r="AG23" s="5">
        <v>378.8</v>
      </c>
      <c r="AH23" s="7">
        <v>54</v>
      </c>
      <c r="AI23" s="7">
        <v>10</v>
      </c>
      <c r="AJ23" s="5">
        <v>947</v>
      </c>
      <c r="AK23" s="8"/>
      <c r="AL23" s="4">
        <v>17.826000000000001</v>
      </c>
      <c r="AM23" s="9">
        <v>6725.14</v>
      </c>
      <c r="AN23" s="4">
        <v>113.238</v>
      </c>
      <c r="AO23" s="5">
        <v>0.43</v>
      </c>
      <c r="AP23" s="5">
        <v>168.9</v>
      </c>
      <c r="AQ23" s="5">
        <v>706.69</v>
      </c>
      <c r="AR23" s="5">
        <v>85.01</v>
      </c>
      <c r="AS23" s="9">
        <v>15156.95</v>
      </c>
    </row>
    <row r="24" spans="1:45" ht="11.1" customHeight="1" x14ac:dyDescent="0.2">
      <c r="A24" s="3" t="s">
        <v>38</v>
      </c>
      <c r="B24" s="4">
        <v>0.222</v>
      </c>
      <c r="C24" s="4">
        <v>1.8440000000000001</v>
      </c>
      <c r="D24" s="4">
        <f>VLOOKUP(A24:A61,[1]TDSheet!$A$4:$C$42,3,)</f>
        <v>1.028</v>
      </c>
      <c r="E24" s="7">
        <f t="shared" si="0"/>
        <v>0.55748373101952275</v>
      </c>
      <c r="F24" s="5">
        <v>459.16</v>
      </c>
      <c r="G24" s="6"/>
      <c r="H24" s="6"/>
      <c r="I24" s="6"/>
      <c r="J24" s="7">
        <v>8</v>
      </c>
      <c r="K24" s="8"/>
      <c r="L24" s="8"/>
      <c r="M24" s="7">
        <v>230</v>
      </c>
      <c r="N24" s="7">
        <v>23</v>
      </c>
      <c r="O24" s="9">
        <v>1524.9</v>
      </c>
      <c r="P24" s="7">
        <v>120</v>
      </c>
      <c r="Q24" s="7">
        <v>7</v>
      </c>
      <c r="R24" s="5">
        <v>230.3</v>
      </c>
      <c r="S24" s="7">
        <v>8</v>
      </c>
      <c r="T24" s="8"/>
      <c r="U24" s="8"/>
      <c r="V24" s="7">
        <v>15</v>
      </c>
      <c r="W24" s="7">
        <v>11</v>
      </c>
      <c r="X24" s="5">
        <v>842.6</v>
      </c>
      <c r="Y24" s="6"/>
      <c r="Z24" s="6"/>
      <c r="AA24" s="6"/>
      <c r="AB24" s="6"/>
      <c r="AC24" s="6"/>
      <c r="AD24" s="6"/>
      <c r="AE24" s="7">
        <v>7</v>
      </c>
      <c r="AF24" s="7">
        <v>2</v>
      </c>
      <c r="AG24" s="5">
        <v>189.4</v>
      </c>
      <c r="AH24" s="7">
        <v>5</v>
      </c>
      <c r="AI24" s="7">
        <v>6</v>
      </c>
      <c r="AJ24" s="5">
        <v>568.20000000000005</v>
      </c>
      <c r="AK24" s="4">
        <v>6.0000000000000001E-3</v>
      </c>
      <c r="AL24" s="4">
        <v>1.6719999999999999</v>
      </c>
      <c r="AM24" s="5">
        <v>632.85</v>
      </c>
      <c r="AN24" s="4">
        <v>30.905000000000001</v>
      </c>
      <c r="AO24" s="4">
        <v>0.35199999999999998</v>
      </c>
      <c r="AP24" s="5">
        <v>138.26</v>
      </c>
      <c r="AQ24" s="4">
        <v>424.13299999999998</v>
      </c>
      <c r="AR24" s="5">
        <v>52.87</v>
      </c>
      <c r="AS24" s="9">
        <v>4585.67</v>
      </c>
    </row>
    <row r="25" spans="1:45" ht="11.1" customHeight="1" x14ac:dyDescent="0.2">
      <c r="A25" s="3" t="s">
        <v>39</v>
      </c>
      <c r="B25" s="4">
        <v>1.968</v>
      </c>
      <c r="C25" s="4">
        <v>1.5820000000000001</v>
      </c>
      <c r="D25" s="4">
        <f>VLOOKUP(A25:A62,[1]TDSheet!$A$4:$C$42,3,)</f>
        <v>1.204</v>
      </c>
      <c r="E25" s="7">
        <f t="shared" si="0"/>
        <v>0.76106194690265483</v>
      </c>
      <c r="F25" s="5">
        <v>393.92</v>
      </c>
      <c r="G25" s="4">
        <v>0.33800000000000002</v>
      </c>
      <c r="H25" s="4">
        <v>3.238</v>
      </c>
      <c r="I25" s="9">
        <v>1259.5899999999999</v>
      </c>
      <c r="J25" s="7">
        <v>10</v>
      </c>
      <c r="K25" s="7">
        <v>1</v>
      </c>
      <c r="L25" s="5">
        <v>105.7</v>
      </c>
      <c r="M25" s="7">
        <v>188</v>
      </c>
      <c r="N25" s="8"/>
      <c r="O25" s="8"/>
      <c r="P25" s="7">
        <v>95</v>
      </c>
      <c r="Q25" s="8"/>
      <c r="R25" s="8"/>
      <c r="S25" s="7">
        <v>30</v>
      </c>
      <c r="T25" s="7">
        <v>2</v>
      </c>
      <c r="U25" s="5">
        <v>189.4</v>
      </c>
      <c r="V25" s="7">
        <v>16</v>
      </c>
      <c r="W25" s="7">
        <v>8</v>
      </c>
      <c r="X25" s="5">
        <v>612.79999999999995</v>
      </c>
      <c r="Y25" s="6"/>
      <c r="Z25" s="6"/>
      <c r="AA25" s="6"/>
      <c r="AB25" s="6"/>
      <c r="AC25" s="6"/>
      <c r="AD25" s="6"/>
      <c r="AE25" s="7">
        <v>35</v>
      </c>
      <c r="AF25" s="7">
        <v>3</v>
      </c>
      <c r="AG25" s="5">
        <v>284.10000000000002</v>
      </c>
      <c r="AH25" s="7">
        <v>43</v>
      </c>
      <c r="AI25" s="7">
        <v>5</v>
      </c>
      <c r="AJ25" s="5">
        <v>473.5</v>
      </c>
      <c r="AK25" s="4">
        <v>4.0000000000000001E-3</v>
      </c>
      <c r="AL25" s="4">
        <v>4.2119999999999997</v>
      </c>
      <c r="AM25" s="9">
        <v>1594.25</v>
      </c>
      <c r="AN25" s="4">
        <v>37.985999999999997</v>
      </c>
      <c r="AO25" s="4">
        <v>0.53200000000000003</v>
      </c>
      <c r="AP25" s="5">
        <v>208.97</v>
      </c>
      <c r="AQ25" s="4">
        <v>457.29599999999999</v>
      </c>
      <c r="AR25" s="5">
        <v>28.56</v>
      </c>
      <c r="AS25" s="9">
        <v>5122.2299999999996</v>
      </c>
    </row>
    <row r="26" spans="1:45" ht="11.1" customHeight="1" x14ac:dyDescent="0.2">
      <c r="A26" s="3" t="s">
        <v>40</v>
      </c>
      <c r="B26" s="10">
        <v>0.6</v>
      </c>
      <c r="C26" s="4">
        <v>0.55400000000000005</v>
      </c>
      <c r="D26" s="4">
        <f>VLOOKUP(A26:A63,[1]TDSheet!$A$4:$C$42,3,)</f>
        <v>1.248</v>
      </c>
      <c r="E26" s="7">
        <f t="shared" si="0"/>
        <v>2.2527075812274364</v>
      </c>
      <c r="F26" s="5">
        <v>137.94999999999999</v>
      </c>
      <c r="G26" s="6"/>
      <c r="H26" s="6"/>
      <c r="I26" s="6"/>
      <c r="J26" s="7">
        <v>20</v>
      </c>
      <c r="K26" s="7">
        <v>1</v>
      </c>
      <c r="L26" s="5">
        <v>105.7</v>
      </c>
      <c r="M26" s="7">
        <v>79</v>
      </c>
      <c r="N26" s="7">
        <v>3</v>
      </c>
      <c r="O26" s="5">
        <v>198.9</v>
      </c>
      <c r="P26" s="7">
        <v>62</v>
      </c>
      <c r="Q26" s="7">
        <v>4</v>
      </c>
      <c r="R26" s="5">
        <v>131.6</v>
      </c>
      <c r="S26" s="7">
        <v>20</v>
      </c>
      <c r="T26" s="7">
        <v>3</v>
      </c>
      <c r="U26" s="5">
        <v>284.10000000000002</v>
      </c>
      <c r="V26" s="7">
        <v>20</v>
      </c>
      <c r="W26" s="7">
        <v>4</v>
      </c>
      <c r="X26" s="5">
        <v>306.39999999999998</v>
      </c>
      <c r="Y26" s="6"/>
      <c r="Z26" s="6"/>
      <c r="AA26" s="6"/>
      <c r="AB26" s="4">
        <v>0.39200000000000002</v>
      </c>
      <c r="AC26" s="8"/>
      <c r="AD26" s="8"/>
      <c r="AE26" s="7">
        <v>36</v>
      </c>
      <c r="AF26" s="7">
        <v>2</v>
      </c>
      <c r="AG26" s="5">
        <v>189.4</v>
      </c>
      <c r="AH26" s="8"/>
      <c r="AI26" s="7">
        <v>2</v>
      </c>
      <c r="AJ26" s="5">
        <v>189.4</v>
      </c>
      <c r="AK26" s="4">
        <v>4.0000000000000001E-3</v>
      </c>
      <c r="AL26" s="4">
        <v>2.1779999999999999</v>
      </c>
      <c r="AM26" s="5">
        <v>824.38</v>
      </c>
      <c r="AN26" s="4">
        <v>16.420999999999999</v>
      </c>
      <c r="AO26" s="5">
        <v>7.0000000000000007E-2</v>
      </c>
      <c r="AP26" s="5">
        <v>27.5</v>
      </c>
      <c r="AQ26" s="4">
        <v>254.417</v>
      </c>
      <c r="AR26" s="10">
        <v>21.8</v>
      </c>
      <c r="AS26" s="9">
        <v>2395.33</v>
      </c>
    </row>
    <row r="27" spans="1:45" ht="11.1" customHeight="1" x14ac:dyDescent="0.2">
      <c r="A27" s="3" t="s">
        <v>41</v>
      </c>
      <c r="B27" s="4">
        <v>0.36799999999999999</v>
      </c>
      <c r="C27" s="4">
        <v>1.728</v>
      </c>
      <c r="D27" s="4">
        <f>VLOOKUP(A27:A64,[1]TDSheet!$A$4:$C$42,3,)</f>
        <v>3.3559999999999999</v>
      </c>
      <c r="E27" s="7">
        <f t="shared" si="0"/>
        <v>1.9421296296296295</v>
      </c>
      <c r="F27" s="5">
        <v>430.29</v>
      </c>
      <c r="G27" s="6"/>
      <c r="H27" s="6"/>
      <c r="I27" s="6"/>
      <c r="J27" s="7">
        <v>7</v>
      </c>
      <c r="K27" s="7">
        <v>2</v>
      </c>
      <c r="L27" s="5">
        <v>211.4</v>
      </c>
      <c r="M27" s="7">
        <v>73</v>
      </c>
      <c r="N27" s="7">
        <v>1</v>
      </c>
      <c r="O27" s="5">
        <v>66.3</v>
      </c>
      <c r="P27" s="7">
        <v>89</v>
      </c>
      <c r="Q27" s="7">
        <v>2</v>
      </c>
      <c r="R27" s="5">
        <v>65.8</v>
      </c>
      <c r="S27" s="7">
        <v>32</v>
      </c>
      <c r="T27" s="7">
        <v>1</v>
      </c>
      <c r="U27" s="5">
        <v>94.7</v>
      </c>
      <c r="V27" s="7">
        <v>3</v>
      </c>
      <c r="W27" s="7">
        <v>7</v>
      </c>
      <c r="X27" s="5">
        <v>536.20000000000005</v>
      </c>
      <c r="Y27" s="8"/>
      <c r="Z27" s="7">
        <v>7</v>
      </c>
      <c r="AA27" s="5">
        <v>175</v>
      </c>
      <c r="AB27" s="6"/>
      <c r="AC27" s="6"/>
      <c r="AD27" s="6"/>
      <c r="AE27" s="7">
        <v>35</v>
      </c>
      <c r="AF27" s="7">
        <v>3</v>
      </c>
      <c r="AG27" s="5">
        <v>284.10000000000002</v>
      </c>
      <c r="AH27" s="7">
        <v>39</v>
      </c>
      <c r="AI27" s="7">
        <v>6</v>
      </c>
      <c r="AJ27" s="5">
        <v>568.20000000000005</v>
      </c>
      <c r="AK27" s="8"/>
      <c r="AL27" s="4">
        <v>2.5419999999999998</v>
      </c>
      <c r="AM27" s="5">
        <v>962.16</v>
      </c>
      <c r="AN27" s="4">
        <v>21.242000000000001</v>
      </c>
      <c r="AO27" s="4">
        <v>0.45800000000000002</v>
      </c>
      <c r="AP27" s="5">
        <v>179.91</v>
      </c>
      <c r="AQ27" s="5">
        <v>299.61</v>
      </c>
      <c r="AR27" s="5">
        <v>33.729999999999997</v>
      </c>
      <c r="AS27" s="9">
        <v>3574.06</v>
      </c>
    </row>
    <row r="28" spans="1:45" ht="11.1" customHeight="1" x14ac:dyDescent="0.2">
      <c r="A28" s="3" t="s">
        <v>42</v>
      </c>
      <c r="B28" s="4">
        <v>1.6839999999999999</v>
      </c>
      <c r="C28" s="4">
        <v>0.86399999999999999</v>
      </c>
      <c r="D28" s="4">
        <f>VLOOKUP(A28:A65,[1]TDSheet!$A$4:$C$42,3,)</f>
        <v>1.6839999999999999</v>
      </c>
      <c r="E28" s="7">
        <f t="shared" si="0"/>
        <v>1.949074074074074</v>
      </c>
      <c r="F28" s="5">
        <v>215.14</v>
      </c>
      <c r="G28" s="5">
        <v>0.01</v>
      </c>
      <c r="H28" s="8"/>
      <c r="I28" s="8"/>
      <c r="J28" s="7">
        <v>14</v>
      </c>
      <c r="K28" s="8"/>
      <c r="L28" s="8"/>
      <c r="M28" s="7">
        <v>19</v>
      </c>
      <c r="N28" s="8"/>
      <c r="O28" s="8"/>
      <c r="P28" s="7">
        <v>67</v>
      </c>
      <c r="Q28" s="8"/>
      <c r="R28" s="8"/>
      <c r="S28" s="7">
        <v>21</v>
      </c>
      <c r="T28" s="8"/>
      <c r="U28" s="8"/>
      <c r="V28" s="7">
        <v>21</v>
      </c>
      <c r="W28" s="8"/>
      <c r="X28" s="8"/>
      <c r="Y28" s="6"/>
      <c r="Z28" s="6"/>
      <c r="AA28" s="6"/>
      <c r="AB28" s="10">
        <v>0.4</v>
      </c>
      <c r="AC28" s="8"/>
      <c r="AD28" s="8"/>
      <c r="AE28" s="7">
        <v>11</v>
      </c>
      <c r="AF28" s="8"/>
      <c r="AG28" s="8"/>
      <c r="AH28" s="7">
        <v>1</v>
      </c>
      <c r="AI28" s="7">
        <v>1</v>
      </c>
      <c r="AJ28" s="5">
        <v>91.6</v>
      </c>
      <c r="AK28" s="4">
        <v>0.57199999999999995</v>
      </c>
      <c r="AL28" s="8"/>
      <c r="AM28" s="8"/>
      <c r="AN28" s="5">
        <v>6.17</v>
      </c>
      <c r="AO28" s="8"/>
      <c r="AP28" s="8"/>
      <c r="AQ28" s="4">
        <v>162.83600000000001</v>
      </c>
      <c r="AR28" s="5">
        <v>1.86</v>
      </c>
      <c r="AS28" s="5">
        <v>306.74</v>
      </c>
    </row>
    <row r="29" spans="1:45" ht="11.1" customHeight="1" x14ac:dyDescent="0.2">
      <c r="A29" s="3" t="s">
        <v>43</v>
      </c>
      <c r="B29" s="5">
        <v>1.93</v>
      </c>
      <c r="C29" s="4">
        <v>1.452</v>
      </c>
      <c r="D29" s="4">
        <f>VLOOKUP(A29:A66,[1]TDSheet!$A$4:$C$42,3,)</f>
        <v>5.3959999999999999</v>
      </c>
      <c r="E29" s="7">
        <f t="shared" si="0"/>
        <v>3.7162534435261709</v>
      </c>
      <c r="F29" s="5">
        <v>361.54</v>
      </c>
      <c r="G29" s="8"/>
      <c r="H29" s="4">
        <v>0.71599999999999997</v>
      </c>
      <c r="I29" s="5">
        <v>278.52</v>
      </c>
      <c r="J29" s="7">
        <v>14</v>
      </c>
      <c r="K29" s="8"/>
      <c r="L29" s="8"/>
      <c r="M29" s="7">
        <v>52</v>
      </c>
      <c r="N29" s="7">
        <v>2</v>
      </c>
      <c r="O29" s="5">
        <v>132.6</v>
      </c>
      <c r="P29" s="7">
        <v>62</v>
      </c>
      <c r="Q29" s="7">
        <v>6</v>
      </c>
      <c r="R29" s="5">
        <v>197.4</v>
      </c>
      <c r="S29" s="7">
        <v>5</v>
      </c>
      <c r="T29" s="8"/>
      <c r="U29" s="8"/>
      <c r="V29" s="7">
        <v>17</v>
      </c>
      <c r="W29" s="8"/>
      <c r="X29" s="8"/>
      <c r="Y29" s="7">
        <v>2</v>
      </c>
      <c r="Z29" s="7">
        <v>7</v>
      </c>
      <c r="AA29" s="5">
        <v>175</v>
      </c>
      <c r="AB29" s="5">
        <v>0.76</v>
      </c>
      <c r="AC29" s="8"/>
      <c r="AD29" s="8"/>
      <c r="AE29" s="7">
        <v>9</v>
      </c>
      <c r="AF29" s="7">
        <v>2</v>
      </c>
      <c r="AG29" s="5">
        <v>189.4</v>
      </c>
      <c r="AH29" s="7">
        <v>33</v>
      </c>
      <c r="AI29" s="7">
        <v>3</v>
      </c>
      <c r="AJ29" s="5">
        <v>284.10000000000002</v>
      </c>
      <c r="AK29" s="4">
        <v>1.556</v>
      </c>
      <c r="AL29" s="4">
        <v>2.0779999999999998</v>
      </c>
      <c r="AM29" s="5">
        <v>786.52</v>
      </c>
      <c r="AN29" s="4">
        <v>13.178000000000001</v>
      </c>
      <c r="AO29" s="4">
        <v>0.104</v>
      </c>
      <c r="AP29" s="5">
        <v>40.85</v>
      </c>
      <c r="AQ29" s="4">
        <v>211.42400000000001</v>
      </c>
      <c r="AR29" s="5">
        <v>24.35</v>
      </c>
      <c r="AS29" s="9">
        <v>2445.9299999999998</v>
      </c>
    </row>
    <row r="30" spans="1:45" ht="11.1" customHeight="1" x14ac:dyDescent="0.2">
      <c r="A30" s="3" t="s">
        <v>44</v>
      </c>
      <c r="B30" s="4">
        <v>4.3999999999999997E-2</v>
      </c>
      <c r="C30" s="4">
        <v>1.484</v>
      </c>
      <c r="D30" s="4">
        <f>VLOOKUP(A30:A67,[1]TDSheet!$A$4:$C$42,3,)</f>
        <v>1.538</v>
      </c>
      <c r="E30" s="7">
        <f t="shared" si="0"/>
        <v>1.0363881401617252</v>
      </c>
      <c r="F30" s="5">
        <v>369.51</v>
      </c>
      <c r="G30" s="6"/>
      <c r="H30" s="6"/>
      <c r="I30" s="6"/>
      <c r="J30" s="7">
        <v>15</v>
      </c>
      <c r="K30" s="8"/>
      <c r="L30" s="8"/>
      <c r="M30" s="7">
        <v>45</v>
      </c>
      <c r="N30" s="7">
        <v>2</v>
      </c>
      <c r="O30" s="5">
        <v>132.6</v>
      </c>
      <c r="P30" s="7">
        <v>88</v>
      </c>
      <c r="Q30" s="7">
        <v>1</v>
      </c>
      <c r="R30" s="5">
        <v>32.9</v>
      </c>
      <c r="S30" s="7">
        <v>37</v>
      </c>
      <c r="T30" s="8"/>
      <c r="U30" s="8"/>
      <c r="V30" s="7">
        <v>23</v>
      </c>
      <c r="W30" s="7">
        <v>1</v>
      </c>
      <c r="X30" s="5">
        <v>76.599999999999994</v>
      </c>
      <c r="Y30" s="8"/>
      <c r="Z30" s="7">
        <v>4</v>
      </c>
      <c r="AA30" s="5">
        <v>100</v>
      </c>
      <c r="AB30" s="5">
        <v>3.16</v>
      </c>
      <c r="AC30" s="8"/>
      <c r="AD30" s="8"/>
      <c r="AE30" s="7">
        <v>24</v>
      </c>
      <c r="AF30" s="7">
        <v>1</v>
      </c>
      <c r="AG30" s="5">
        <v>94.7</v>
      </c>
      <c r="AH30" s="7">
        <v>30</v>
      </c>
      <c r="AI30" s="7">
        <v>1</v>
      </c>
      <c r="AJ30" s="5">
        <v>94.7</v>
      </c>
      <c r="AK30" s="4">
        <v>0.51200000000000001</v>
      </c>
      <c r="AL30" s="8"/>
      <c r="AM30" s="8"/>
      <c r="AN30" s="4">
        <v>17.288</v>
      </c>
      <c r="AO30" s="4">
        <v>0.46600000000000003</v>
      </c>
      <c r="AP30" s="5">
        <v>183.04</v>
      </c>
      <c r="AQ30" s="4">
        <v>283.00400000000002</v>
      </c>
      <c r="AR30" s="5">
        <v>11.95</v>
      </c>
      <c r="AS30" s="9">
        <v>1084.05</v>
      </c>
    </row>
    <row r="31" spans="1:45" ht="11.1" customHeight="1" x14ac:dyDescent="0.2">
      <c r="A31" s="3" t="s">
        <v>45</v>
      </c>
      <c r="B31" s="4">
        <v>0.70199999999999996</v>
      </c>
      <c r="C31" s="4">
        <v>2.4380000000000002</v>
      </c>
      <c r="D31" s="4">
        <f>VLOOKUP(A31:A68,[1]TDSheet!$A$4:$C$42,3,)</f>
        <v>3.17</v>
      </c>
      <c r="E31" s="7">
        <f t="shared" si="0"/>
        <v>1.3002461033634125</v>
      </c>
      <c r="F31" s="5">
        <v>607.08000000000004</v>
      </c>
      <c r="G31" s="5">
        <v>2.39</v>
      </c>
      <c r="H31" s="5">
        <v>0.72</v>
      </c>
      <c r="I31" s="5">
        <v>280.08</v>
      </c>
      <c r="J31" s="7">
        <v>11</v>
      </c>
      <c r="K31" s="7">
        <v>1</v>
      </c>
      <c r="L31" s="5">
        <v>105.7</v>
      </c>
      <c r="M31" s="7">
        <v>80</v>
      </c>
      <c r="N31" s="7">
        <v>5</v>
      </c>
      <c r="O31" s="5">
        <v>331.5</v>
      </c>
      <c r="P31" s="7">
        <v>86</v>
      </c>
      <c r="Q31" s="8"/>
      <c r="R31" s="8"/>
      <c r="S31" s="7">
        <v>34</v>
      </c>
      <c r="T31" s="8"/>
      <c r="U31" s="8"/>
      <c r="V31" s="7">
        <v>13</v>
      </c>
      <c r="W31" s="7">
        <v>11</v>
      </c>
      <c r="X31" s="5">
        <v>842.6</v>
      </c>
      <c r="Y31" s="7">
        <v>7</v>
      </c>
      <c r="Z31" s="7">
        <v>14</v>
      </c>
      <c r="AA31" s="5">
        <v>350</v>
      </c>
      <c r="AB31" s="4">
        <v>0.378</v>
      </c>
      <c r="AC31" s="8"/>
      <c r="AD31" s="8"/>
      <c r="AE31" s="7">
        <v>13</v>
      </c>
      <c r="AF31" s="7">
        <v>1</v>
      </c>
      <c r="AG31" s="5">
        <v>94.7</v>
      </c>
      <c r="AH31" s="7">
        <v>41</v>
      </c>
      <c r="AI31" s="7">
        <v>5</v>
      </c>
      <c r="AJ31" s="5">
        <v>473.5</v>
      </c>
      <c r="AK31" s="5">
        <v>0.84</v>
      </c>
      <c r="AL31" s="5">
        <v>2.82</v>
      </c>
      <c r="AM31" s="9">
        <v>1067.3599999999999</v>
      </c>
      <c r="AN31" s="4">
        <v>14.254</v>
      </c>
      <c r="AO31" s="4">
        <v>0.83199999999999996</v>
      </c>
      <c r="AP31" s="5">
        <v>326.81</v>
      </c>
      <c r="AQ31" s="4">
        <v>303.56400000000002</v>
      </c>
      <c r="AR31" s="5">
        <v>43.81</v>
      </c>
      <c r="AS31" s="9">
        <v>4479.33</v>
      </c>
    </row>
    <row r="32" spans="1:45" ht="11.1" customHeight="1" x14ac:dyDescent="0.2">
      <c r="A32" s="3" t="s">
        <v>46</v>
      </c>
      <c r="B32" s="8"/>
      <c r="C32" s="5">
        <v>0.61</v>
      </c>
      <c r="D32" s="4">
        <f>VLOOKUP(A32:A69,[1]TDSheet!$A$4:$C$42,3,)</f>
        <v>2.6520000000000001</v>
      </c>
      <c r="E32" s="7">
        <f t="shared" si="0"/>
        <v>4.3475409836065575</v>
      </c>
      <c r="F32" s="5">
        <v>151.88999999999999</v>
      </c>
      <c r="G32" s="6"/>
      <c r="H32" s="6"/>
      <c r="I32" s="6"/>
      <c r="J32" s="7">
        <v>14</v>
      </c>
      <c r="K32" s="7">
        <v>1</v>
      </c>
      <c r="L32" s="5">
        <v>105.7</v>
      </c>
      <c r="M32" s="7">
        <v>71</v>
      </c>
      <c r="N32" s="7">
        <v>3</v>
      </c>
      <c r="O32" s="5">
        <v>198.9</v>
      </c>
      <c r="P32" s="7">
        <v>78</v>
      </c>
      <c r="Q32" s="7">
        <v>6</v>
      </c>
      <c r="R32" s="5">
        <v>197.4</v>
      </c>
      <c r="S32" s="7">
        <v>23</v>
      </c>
      <c r="T32" s="7">
        <v>1</v>
      </c>
      <c r="U32" s="5">
        <v>94.7</v>
      </c>
      <c r="V32" s="7">
        <v>37</v>
      </c>
      <c r="W32" s="8"/>
      <c r="X32" s="8"/>
      <c r="Y32" s="6"/>
      <c r="Z32" s="6"/>
      <c r="AA32" s="6"/>
      <c r="AB32" s="6"/>
      <c r="AC32" s="6"/>
      <c r="AD32" s="6"/>
      <c r="AE32" s="7">
        <v>27</v>
      </c>
      <c r="AF32" s="7">
        <v>1</v>
      </c>
      <c r="AG32" s="5">
        <v>94.7</v>
      </c>
      <c r="AH32" s="7">
        <v>42</v>
      </c>
      <c r="AI32" s="7">
        <v>2</v>
      </c>
      <c r="AJ32" s="5">
        <v>189.4</v>
      </c>
      <c r="AK32" s="8"/>
      <c r="AL32" s="4">
        <v>0.38600000000000001</v>
      </c>
      <c r="AM32" s="5">
        <v>146.1</v>
      </c>
      <c r="AN32" s="4">
        <v>24.186</v>
      </c>
      <c r="AO32" s="4">
        <v>0.14399999999999999</v>
      </c>
      <c r="AP32" s="5">
        <v>56.56</v>
      </c>
      <c r="AQ32" s="4">
        <v>316.18599999999998</v>
      </c>
      <c r="AR32" s="5">
        <v>15.14</v>
      </c>
      <c r="AS32" s="9">
        <v>1235.3499999999999</v>
      </c>
    </row>
    <row r="33" spans="1:45" ht="11.1" customHeight="1" x14ac:dyDescent="0.2">
      <c r="A33" s="3" t="s">
        <v>47</v>
      </c>
      <c r="B33" s="4">
        <v>1.238</v>
      </c>
      <c r="C33" s="4">
        <v>3.286</v>
      </c>
      <c r="D33" s="4">
        <f>VLOOKUP(A33:A70,[1]TDSheet!$A$4:$C$42,3,)</f>
        <v>3.2519999999999998</v>
      </c>
      <c r="E33" s="7">
        <f t="shared" si="0"/>
        <v>0.98965307364576982</v>
      </c>
      <c r="F33" s="5">
        <v>818.22</v>
      </c>
      <c r="G33" s="6"/>
      <c r="H33" s="6"/>
      <c r="I33" s="6"/>
      <c r="J33" s="7">
        <v>10</v>
      </c>
      <c r="K33" s="7">
        <v>1</v>
      </c>
      <c r="L33" s="5">
        <v>105.7</v>
      </c>
      <c r="M33" s="7">
        <v>176</v>
      </c>
      <c r="N33" s="7">
        <v>6</v>
      </c>
      <c r="O33" s="5">
        <v>397.8</v>
      </c>
      <c r="P33" s="7">
        <v>85</v>
      </c>
      <c r="Q33" s="7">
        <v>3</v>
      </c>
      <c r="R33" s="5">
        <v>98.7</v>
      </c>
      <c r="S33" s="7">
        <v>33</v>
      </c>
      <c r="T33" s="7">
        <v>5</v>
      </c>
      <c r="U33" s="5">
        <v>473.5</v>
      </c>
      <c r="V33" s="7">
        <v>21</v>
      </c>
      <c r="W33" s="7">
        <v>6</v>
      </c>
      <c r="X33" s="5">
        <v>459.6</v>
      </c>
      <c r="Y33" s="6"/>
      <c r="Z33" s="6"/>
      <c r="AA33" s="6"/>
      <c r="AB33" s="8"/>
      <c r="AC33" s="4">
        <v>2.1259999999999999</v>
      </c>
      <c r="AD33" s="5">
        <v>635.66999999999996</v>
      </c>
      <c r="AE33" s="7">
        <v>60</v>
      </c>
      <c r="AF33" s="7">
        <v>3</v>
      </c>
      <c r="AG33" s="5">
        <v>284.10000000000002</v>
      </c>
      <c r="AH33" s="8"/>
      <c r="AI33" s="7">
        <v>4</v>
      </c>
      <c r="AJ33" s="5">
        <v>378.8</v>
      </c>
      <c r="AK33" s="5">
        <v>0.55000000000000004</v>
      </c>
      <c r="AL33" s="4">
        <v>4.4359999999999999</v>
      </c>
      <c r="AM33" s="9">
        <v>1679.03</v>
      </c>
      <c r="AN33" s="5">
        <v>123.21</v>
      </c>
      <c r="AO33" s="4">
        <v>1.006</v>
      </c>
      <c r="AP33" s="5">
        <v>395.15</v>
      </c>
      <c r="AQ33" s="4">
        <v>509.99799999999999</v>
      </c>
      <c r="AR33" s="5">
        <v>38.85</v>
      </c>
      <c r="AS33" s="9">
        <v>5726.27</v>
      </c>
    </row>
    <row r="34" spans="1:45" ht="11.1" customHeight="1" x14ac:dyDescent="0.2">
      <c r="A34" s="3" t="s">
        <v>48</v>
      </c>
      <c r="B34" s="4">
        <v>0.13600000000000001</v>
      </c>
      <c r="C34" s="4">
        <v>2.7639999999999998</v>
      </c>
      <c r="D34" s="4">
        <f>VLOOKUP(A34:A71,[1]TDSheet!$A$4:$C$42,3,)</f>
        <v>4.25</v>
      </c>
      <c r="E34" s="7">
        <f t="shared" si="0"/>
        <v>1.5376266280752533</v>
      </c>
      <c r="F34" s="5">
        <v>688.23</v>
      </c>
      <c r="G34" s="6"/>
      <c r="H34" s="6"/>
      <c r="I34" s="6"/>
      <c r="J34" s="7">
        <v>8</v>
      </c>
      <c r="K34" s="8"/>
      <c r="L34" s="8"/>
      <c r="M34" s="7">
        <v>8</v>
      </c>
      <c r="N34" s="7">
        <v>4</v>
      </c>
      <c r="O34" s="5">
        <v>250.4</v>
      </c>
      <c r="P34" s="7">
        <v>95</v>
      </c>
      <c r="Q34" s="7">
        <v>2</v>
      </c>
      <c r="R34" s="5">
        <v>65.8</v>
      </c>
      <c r="S34" s="7">
        <v>39</v>
      </c>
      <c r="T34" s="7">
        <v>2</v>
      </c>
      <c r="U34" s="5">
        <v>183.4</v>
      </c>
      <c r="V34" s="7">
        <v>9</v>
      </c>
      <c r="W34" s="7">
        <v>3</v>
      </c>
      <c r="X34" s="5">
        <v>229.8</v>
      </c>
      <c r="Y34" s="8"/>
      <c r="Z34" s="7">
        <v>15</v>
      </c>
      <c r="AA34" s="5">
        <v>345</v>
      </c>
      <c r="AB34" s="4">
        <v>2.2519999999999998</v>
      </c>
      <c r="AC34" s="8"/>
      <c r="AD34" s="8"/>
      <c r="AE34" s="7">
        <v>13</v>
      </c>
      <c r="AF34" s="8"/>
      <c r="AG34" s="8"/>
      <c r="AH34" s="7">
        <v>45</v>
      </c>
      <c r="AI34" s="8"/>
      <c r="AJ34" s="8"/>
      <c r="AK34" s="6"/>
      <c r="AL34" s="6"/>
      <c r="AM34" s="6"/>
      <c r="AN34" s="4">
        <v>33.048000000000002</v>
      </c>
      <c r="AO34" s="8"/>
      <c r="AP34" s="8"/>
      <c r="AQ34" s="4">
        <v>252.43600000000001</v>
      </c>
      <c r="AR34" s="5">
        <v>28.76</v>
      </c>
      <c r="AS34" s="9">
        <v>1762.63</v>
      </c>
    </row>
    <row r="35" spans="1:45" ht="11.1" customHeight="1" x14ac:dyDescent="0.2">
      <c r="A35" s="3" t="s">
        <v>49</v>
      </c>
      <c r="B35" s="8"/>
      <c r="C35" s="4">
        <v>1.054</v>
      </c>
      <c r="D35" s="4">
        <f>VLOOKUP(A35:A72,[1]TDSheet!$A$4:$C$42,3,)</f>
        <v>1.502</v>
      </c>
      <c r="E35" s="7">
        <f t="shared" si="0"/>
        <v>1.4250474383301708</v>
      </c>
      <c r="F35" s="5">
        <v>262.45</v>
      </c>
      <c r="G35" s="4">
        <v>0.69199999999999995</v>
      </c>
      <c r="H35" s="4">
        <v>2.8079999999999998</v>
      </c>
      <c r="I35" s="9">
        <v>1092.3</v>
      </c>
      <c r="J35" s="7">
        <v>14</v>
      </c>
      <c r="K35" s="8"/>
      <c r="L35" s="8"/>
      <c r="M35" s="7">
        <v>50</v>
      </c>
      <c r="N35" s="8"/>
      <c r="O35" s="8"/>
      <c r="P35" s="7">
        <v>28</v>
      </c>
      <c r="Q35" s="7">
        <v>1</v>
      </c>
      <c r="R35" s="5">
        <v>32.9</v>
      </c>
      <c r="S35" s="7">
        <v>22</v>
      </c>
      <c r="T35" s="8"/>
      <c r="U35" s="8"/>
      <c r="V35" s="7">
        <v>15</v>
      </c>
      <c r="W35" s="7">
        <v>1</v>
      </c>
      <c r="X35" s="5">
        <v>76.599999999999994</v>
      </c>
      <c r="Y35" s="7">
        <v>3</v>
      </c>
      <c r="Z35" s="7">
        <v>15</v>
      </c>
      <c r="AA35" s="5">
        <v>375</v>
      </c>
      <c r="AB35" s="6"/>
      <c r="AC35" s="6"/>
      <c r="AD35" s="6"/>
      <c r="AE35" s="7">
        <v>38</v>
      </c>
      <c r="AF35" s="7">
        <v>1</v>
      </c>
      <c r="AG35" s="5">
        <v>94.7</v>
      </c>
      <c r="AH35" s="7">
        <v>28</v>
      </c>
      <c r="AI35" s="8"/>
      <c r="AJ35" s="8"/>
      <c r="AK35" s="4">
        <v>0.33800000000000002</v>
      </c>
      <c r="AL35" s="4">
        <v>0.94599999999999995</v>
      </c>
      <c r="AM35" s="5">
        <v>358.06</v>
      </c>
      <c r="AN35" s="4">
        <v>27.123999999999999</v>
      </c>
      <c r="AO35" s="4">
        <v>0.14399999999999999</v>
      </c>
      <c r="AP35" s="5">
        <v>56.56</v>
      </c>
      <c r="AQ35" s="4">
        <v>226.154</v>
      </c>
      <c r="AR35" s="5">
        <v>22.95</v>
      </c>
      <c r="AS35" s="9">
        <v>2348.5700000000002</v>
      </c>
    </row>
    <row r="36" spans="1:45" ht="11.1" customHeight="1" x14ac:dyDescent="0.2">
      <c r="A36" s="3" t="s">
        <v>50</v>
      </c>
      <c r="B36" s="4">
        <v>4.0000000000000001E-3</v>
      </c>
      <c r="C36" s="4">
        <v>1.1339999999999999</v>
      </c>
      <c r="D36" s="4">
        <f>VLOOKUP(A36:A73,[1]TDSheet!$A$4:$C$42,3,)</f>
        <v>1.87</v>
      </c>
      <c r="E36" s="7">
        <f t="shared" si="0"/>
        <v>1.6490299823633159</v>
      </c>
      <c r="F36" s="5">
        <v>282.36</v>
      </c>
      <c r="G36" s="6"/>
      <c r="H36" s="6"/>
      <c r="I36" s="6"/>
      <c r="J36" s="7">
        <v>7</v>
      </c>
      <c r="K36" s="8"/>
      <c r="L36" s="8"/>
      <c r="M36" s="7">
        <v>2</v>
      </c>
      <c r="N36" s="7">
        <v>4</v>
      </c>
      <c r="O36" s="5">
        <v>250.4</v>
      </c>
      <c r="P36" s="7">
        <v>123</v>
      </c>
      <c r="Q36" s="7">
        <v>2</v>
      </c>
      <c r="R36" s="5">
        <v>65.8</v>
      </c>
      <c r="S36" s="7">
        <v>24</v>
      </c>
      <c r="T36" s="7">
        <v>3</v>
      </c>
      <c r="U36" s="5">
        <v>275.10000000000002</v>
      </c>
      <c r="V36" s="7">
        <v>17</v>
      </c>
      <c r="W36" s="7">
        <v>1</v>
      </c>
      <c r="X36" s="5">
        <v>76.599999999999994</v>
      </c>
      <c r="Y36" s="8"/>
      <c r="Z36" s="7">
        <v>30</v>
      </c>
      <c r="AA36" s="5">
        <v>690</v>
      </c>
      <c r="AB36" s="4">
        <v>4.0000000000000001E-3</v>
      </c>
      <c r="AC36" s="8"/>
      <c r="AD36" s="8"/>
      <c r="AE36" s="7">
        <v>46</v>
      </c>
      <c r="AF36" s="7">
        <v>1</v>
      </c>
      <c r="AG36" s="5">
        <v>91.7</v>
      </c>
      <c r="AH36" s="7">
        <v>50</v>
      </c>
      <c r="AI36" s="7">
        <v>6</v>
      </c>
      <c r="AJ36" s="5">
        <v>549.6</v>
      </c>
      <c r="AK36" s="5">
        <v>0.45</v>
      </c>
      <c r="AL36" s="4">
        <v>0.49199999999999999</v>
      </c>
      <c r="AM36" s="5">
        <v>186.22</v>
      </c>
      <c r="AN36" s="4">
        <v>11.234</v>
      </c>
      <c r="AO36" s="4">
        <v>0.78800000000000003</v>
      </c>
      <c r="AP36" s="5">
        <v>297.62</v>
      </c>
      <c r="AQ36" s="4">
        <v>280.69200000000001</v>
      </c>
      <c r="AR36" s="5">
        <v>49.41</v>
      </c>
      <c r="AS36" s="9">
        <v>2765.4</v>
      </c>
    </row>
    <row r="37" spans="1:45" ht="11.1" customHeight="1" x14ac:dyDescent="0.2">
      <c r="A37" s="3" t="s">
        <v>51</v>
      </c>
      <c r="B37" s="4">
        <v>1.9219999999999999</v>
      </c>
      <c r="C37" s="4">
        <v>2.5139999999999998</v>
      </c>
      <c r="D37" s="4">
        <f>VLOOKUP(A37:A74,[1]TDSheet!$A$4:$C$42,3,)</f>
        <v>1.36</v>
      </c>
      <c r="E37" s="7">
        <f t="shared" si="0"/>
        <v>0.54097056483691341</v>
      </c>
      <c r="F37" s="5">
        <v>625.98</v>
      </c>
      <c r="G37" s="5">
        <v>2.79</v>
      </c>
      <c r="H37" s="8"/>
      <c r="I37" s="8"/>
      <c r="J37" s="7">
        <v>13</v>
      </c>
      <c r="K37" s="8"/>
      <c r="L37" s="8"/>
      <c r="M37" s="7">
        <v>15</v>
      </c>
      <c r="N37" s="8"/>
      <c r="O37" s="8"/>
      <c r="P37" s="7">
        <v>46</v>
      </c>
      <c r="Q37" s="7">
        <v>1</v>
      </c>
      <c r="R37" s="5">
        <v>32.9</v>
      </c>
      <c r="S37" s="7">
        <v>32</v>
      </c>
      <c r="T37" s="7">
        <v>1</v>
      </c>
      <c r="U37" s="5">
        <v>91.7</v>
      </c>
      <c r="V37" s="7">
        <v>20</v>
      </c>
      <c r="W37" s="7">
        <v>1</v>
      </c>
      <c r="X37" s="5">
        <v>76.599999999999994</v>
      </c>
      <c r="Y37" s="7">
        <v>2</v>
      </c>
      <c r="Z37" s="7">
        <v>11</v>
      </c>
      <c r="AA37" s="5">
        <v>253</v>
      </c>
      <c r="AB37" s="6"/>
      <c r="AC37" s="6"/>
      <c r="AD37" s="6"/>
      <c r="AE37" s="7">
        <v>40</v>
      </c>
      <c r="AF37" s="7">
        <v>1</v>
      </c>
      <c r="AG37" s="5">
        <v>91.7</v>
      </c>
      <c r="AH37" s="7">
        <v>24</v>
      </c>
      <c r="AI37" s="7">
        <v>1</v>
      </c>
      <c r="AJ37" s="5">
        <v>91.6</v>
      </c>
      <c r="AK37" s="4">
        <v>0.41199999999999998</v>
      </c>
      <c r="AL37" s="8"/>
      <c r="AM37" s="8"/>
      <c r="AN37" s="4">
        <v>14.321999999999999</v>
      </c>
      <c r="AO37" s="4">
        <v>0.21199999999999999</v>
      </c>
      <c r="AP37" s="5">
        <v>80.069999999999993</v>
      </c>
      <c r="AQ37" s="4">
        <v>211.446</v>
      </c>
      <c r="AR37" s="5">
        <v>18.73</v>
      </c>
      <c r="AS37" s="9">
        <v>1343.55</v>
      </c>
    </row>
    <row r="38" spans="1:45" ht="11.1" customHeight="1" x14ac:dyDescent="0.2">
      <c r="A38" s="3" t="s">
        <v>52</v>
      </c>
      <c r="B38" s="4">
        <v>0.214</v>
      </c>
      <c r="C38" s="4">
        <v>2.794</v>
      </c>
      <c r="D38" s="4">
        <f>VLOOKUP(A38:A75,[1]TDSheet!$A$4:$C$42,3,)</f>
        <v>4.3520000000000003</v>
      </c>
      <c r="E38" s="7">
        <f t="shared" si="0"/>
        <v>1.5576234788833214</v>
      </c>
      <c r="F38" s="5">
        <v>695.71</v>
      </c>
      <c r="G38" s="8"/>
      <c r="H38" s="4">
        <v>5.6000000000000001E-2</v>
      </c>
      <c r="I38" s="5">
        <v>21.78</v>
      </c>
      <c r="J38" s="7">
        <v>10</v>
      </c>
      <c r="K38" s="7">
        <v>1</v>
      </c>
      <c r="L38" s="5">
        <v>105.7</v>
      </c>
      <c r="M38" s="7">
        <v>80</v>
      </c>
      <c r="N38" s="7">
        <v>2</v>
      </c>
      <c r="O38" s="5">
        <v>132.6</v>
      </c>
      <c r="P38" s="7">
        <v>117</v>
      </c>
      <c r="Q38" s="7">
        <v>4</v>
      </c>
      <c r="R38" s="5">
        <v>131.6</v>
      </c>
      <c r="S38" s="7">
        <v>46</v>
      </c>
      <c r="T38" s="8"/>
      <c r="U38" s="8"/>
      <c r="V38" s="7">
        <v>17</v>
      </c>
      <c r="W38" s="7">
        <v>3</v>
      </c>
      <c r="X38" s="5">
        <v>229.8</v>
      </c>
      <c r="Y38" s="8"/>
      <c r="Z38" s="7">
        <v>27</v>
      </c>
      <c r="AA38" s="5">
        <v>675</v>
      </c>
      <c r="AB38" s="4">
        <v>0.214</v>
      </c>
      <c r="AC38" s="5">
        <v>0.39</v>
      </c>
      <c r="AD38" s="5">
        <v>116.61</v>
      </c>
      <c r="AE38" s="7">
        <v>39</v>
      </c>
      <c r="AF38" s="7">
        <v>1</v>
      </c>
      <c r="AG38" s="5">
        <v>94.7</v>
      </c>
      <c r="AH38" s="8"/>
      <c r="AI38" s="7">
        <v>1</v>
      </c>
      <c r="AJ38" s="5">
        <v>94.7</v>
      </c>
      <c r="AK38" s="4">
        <v>4.0000000000000001E-3</v>
      </c>
      <c r="AL38" s="4">
        <v>4.9580000000000002</v>
      </c>
      <c r="AM38" s="9">
        <v>1876.59</v>
      </c>
      <c r="AN38" s="4">
        <v>32.423999999999999</v>
      </c>
      <c r="AO38" s="5">
        <v>0.98</v>
      </c>
      <c r="AP38" s="5">
        <v>384.95</v>
      </c>
      <c r="AQ38" s="4">
        <v>341.85599999999999</v>
      </c>
      <c r="AR38" s="5">
        <v>48.18</v>
      </c>
      <c r="AS38" s="9">
        <v>4559.74</v>
      </c>
    </row>
    <row r="39" spans="1:45" ht="11.1" customHeight="1" x14ac:dyDescent="0.2">
      <c r="A39" s="3" t="s">
        <v>53</v>
      </c>
      <c r="B39" s="4">
        <v>1.452</v>
      </c>
      <c r="C39" s="4">
        <v>1.274</v>
      </c>
      <c r="D39" s="4">
        <f>VLOOKUP(A39:A76,[1]TDSheet!$A$4:$C$42,3,)</f>
        <v>2.3940000000000001</v>
      </c>
      <c r="E39" s="7">
        <f t="shared" si="0"/>
        <v>1.8791208791208791</v>
      </c>
      <c r="F39" s="5">
        <v>317.22000000000003</v>
      </c>
      <c r="G39" s="6"/>
      <c r="H39" s="6"/>
      <c r="I39" s="6"/>
      <c r="J39" s="7">
        <v>8</v>
      </c>
      <c r="K39" s="8"/>
      <c r="L39" s="8"/>
      <c r="M39" s="7">
        <v>86</v>
      </c>
      <c r="N39" s="7">
        <v>3</v>
      </c>
      <c r="O39" s="5">
        <v>198.9</v>
      </c>
      <c r="P39" s="7">
        <v>75</v>
      </c>
      <c r="Q39" s="7">
        <v>1</v>
      </c>
      <c r="R39" s="5">
        <v>32.9</v>
      </c>
      <c r="S39" s="7">
        <v>22</v>
      </c>
      <c r="T39" s="8"/>
      <c r="U39" s="8"/>
      <c r="V39" s="7">
        <v>19</v>
      </c>
      <c r="W39" s="7">
        <v>3</v>
      </c>
      <c r="X39" s="5">
        <v>229.8</v>
      </c>
      <c r="Y39" s="8"/>
      <c r="Z39" s="7">
        <v>6</v>
      </c>
      <c r="AA39" s="5">
        <v>150</v>
      </c>
      <c r="AB39" s="5">
        <v>3.98</v>
      </c>
      <c r="AC39" s="8"/>
      <c r="AD39" s="8"/>
      <c r="AE39" s="7">
        <v>33</v>
      </c>
      <c r="AF39" s="8"/>
      <c r="AG39" s="8"/>
      <c r="AH39" s="7">
        <v>35</v>
      </c>
      <c r="AI39" s="8"/>
      <c r="AJ39" s="8"/>
      <c r="AK39" s="5">
        <v>0.96</v>
      </c>
      <c r="AL39" s="4">
        <v>1.002</v>
      </c>
      <c r="AM39" s="5">
        <v>379.25</v>
      </c>
      <c r="AN39" s="4">
        <v>29.757999999999999</v>
      </c>
      <c r="AO39" s="4">
        <v>0.106</v>
      </c>
      <c r="AP39" s="5">
        <v>41.64</v>
      </c>
      <c r="AQ39" s="5">
        <v>314.14999999999998</v>
      </c>
      <c r="AR39" s="5">
        <v>15.38</v>
      </c>
      <c r="AS39" s="9">
        <v>1349.71</v>
      </c>
    </row>
    <row r="40" spans="1:45" ht="11.1" customHeight="1" x14ac:dyDescent="0.2">
      <c r="A40" s="3" t="s">
        <v>54</v>
      </c>
      <c r="B40" s="6"/>
      <c r="C40" s="6"/>
      <c r="D40" s="4">
        <f>VLOOKUP(A40:A77,[1]TDSheet!$A$4:$C$42,3,)</f>
        <v>0</v>
      </c>
      <c r="E40" s="7" t="e">
        <f t="shared" si="0"/>
        <v>#DIV/0!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11">
        <v>2833</v>
      </c>
      <c r="Q40" s="8"/>
      <c r="R40" s="8"/>
      <c r="S40" s="6"/>
      <c r="T40" s="6"/>
      <c r="U40" s="6"/>
      <c r="V40" s="11">
        <v>1152</v>
      </c>
      <c r="W40" s="8"/>
      <c r="X40" s="8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11">
        <v>3985</v>
      </c>
      <c r="AR40" s="8"/>
      <c r="AS40" s="8"/>
    </row>
    <row r="41" spans="1:45" ht="11.1" customHeight="1" x14ac:dyDescent="0.2">
      <c r="A41" s="3" t="s">
        <v>55</v>
      </c>
      <c r="B41" s="6"/>
      <c r="C41" s="6"/>
      <c r="D41" s="4">
        <f>VLOOKUP(A41:A78,[1]TDSheet!$A$4:$C$42,3,)</f>
        <v>0</v>
      </c>
      <c r="E41" s="7" t="e">
        <f t="shared" si="0"/>
        <v>#DIV/0!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11">
        <v>1104</v>
      </c>
      <c r="W41" s="8"/>
      <c r="X41" s="8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11">
        <v>1104</v>
      </c>
      <c r="AR41" s="8"/>
      <c r="AS41" s="8"/>
    </row>
    <row r="42" spans="1:45" ht="12.95" customHeight="1" x14ac:dyDescent="0.2">
      <c r="A42" s="12" t="s">
        <v>1</v>
      </c>
      <c r="B42" s="13">
        <v>30.242999999999999</v>
      </c>
      <c r="C42" s="13">
        <v>78.197999999999993</v>
      </c>
      <c r="D42" s="13"/>
      <c r="E42" s="13"/>
      <c r="F42" s="14">
        <v>19471.3</v>
      </c>
      <c r="G42" s="15">
        <v>14.74</v>
      </c>
      <c r="H42" s="13">
        <v>27.884</v>
      </c>
      <c r="I42" s="14">
        <v>10776.3</v>
      </c>
      <c r="J42" s="16">
        <v>365</v>
      </c>
      <c r="K42" s="16">
        <v>45</v>
      </c>
      <c r="L42" s="14">
        <v>4743.7</v>
      </c>
      <c r="M42" s="17">
        <v>2793</v>
      </c>
      <c r="N42" s="16">
        <v>99</v>
      </c>
      <c r="O42" s="14">
        <v>6530.79</v>
      </c>
      <c r="P42" s="17">
        <v>5555</v>
      </c>
      <c r="Q42" s="16">
        <v>87</v>
      </c>
      <c r="R42" s="14">
        <v>2862.3</v>
      </c>
      <c r="S42" s="16">
        <v>925</v>
      </c>
      <c r="T42" s="16">
        <v>42</v>
      </c>
      <c r="U42" s="14">
        <v>3953.4</v>
      </c>
      <c r="V42" s="17">
        <v>3025</v>
      </c>
      <c r="W42" s="16">
        <v>118</v>
      </c>
      <c r="X42" s="14">
        <v>9038.7999999999993</v>
      </c>
      <c r="Y42" s="16">
        <v>41</v>
      </c>
      <c r="Z42" s="16">
        <v>279</v>
      </c>
      <c r="AA42" s="14">
        <v>6863</v>
      </c>
      <c r="AB42" s="13">
        <v>17.187999999999999</v>
      </c>
      <c r="AC42" s="15">
        <v>3.94</v>
      </c>
      <c r="AD42" s="14">
        <v>1178.05</v>
      </c>
      <c r="AE42" s="17">
        <v>1129</v>
      </c>
      <c r="AF42" s="16">
        <v>76</v>
      </c>
      <c r="AG42" s="14">
        <v>7191.2</v>
      </c>
      <c r="AH42" s="17">
        <v>1004</v>
      </c>
      <c r="AI42" s="16">
        <v>94</v>
      </c>
      <c r="AJ42" s="14">
        <v>8877</v>
      </c>
      <c r="AK42" s="13">
        <v>10.052</v>
      </c>
      <c r="AL42" s="13">
        <v>86.554000000000002</v>
      </c>
      <c r="AM42" s="14">
        <v>32738.75</v>
      </c>
      <c r="AN42" s="13">
        <v>876.62199999999996</v>
      </c>
      <c r="AO42" s="13">
        <v>12.173999999999999</v>
      </c>
      <c r="AP42" s="14">
        <v>4765.75</v>
      </c>
      <c r="AQ42" s="18">
        <v>15785.844999999999</v>
      </c>
      <c r="AR42" s="14">
        <v>1048.75</v>
      </c>
      <c r="AS42" s="14">
        <v>118990.34</v>
      </c>
    </row>
  </sheetData>
  <mergeCells count="28">
    <mergeCell ref="P2:R2"/>
    <mergeCell ref="S2:U2"/>
    <mergeCell ref="V2:X2"/>
    <mergeCell ref="Y2:AA2"/>
    <mergeCell ref="AB2:AD2"/>
    <mergeCell ref="AE1:AG1"/>
    <mergeCell ref="AH1:AJ1"/>
    <mergeCell ref="AK1:AM1"/>
    <mergeCell ref="AN1:AP1"/>
    <mergeCell ref="AQ1:AS2"/>
    <mergeCell ref="AE2:AG2"/>
    <mergeCell ref="AH2:AJ2"/>
    <mergeCell ref="AK2:AM2"/>
    <mergeCell ref="AN2:AP2"/>
    <mergeCell ref="P1:R1"/>
    <mergeCell ref="S1:U1"/>
    <mergeCell ref="V1:X1"/>
    <mergeCell ref="Y1:AA1"/>
    <mergeCell ref="AB1:AD1"/>
    <mergeCell ref="A1:A3"/>
    <mergeCell ref="B1:F1"/>
    <mergeCell ref="G1:I1"/>
    <mergeCell ref="J1:L1"/>
    <mergeCell ref="M1:O1"/>
    <mergeCell ref="B2:F2"/>
    <mergeCell ref="G2:I2"/>
    <mergeCell ref="J2:L2"/>
    <mergeCell ref="M2:O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Смільницький Станіслав</dc:creator>
  <cp:lastModifiedBy>Кавакін Анатолій Ігорович</cp:lastModifiedBy>
  <dcterms:created xsi:type="dcterms:W3CDTF">2026-09-08T07:51:35Z</dcterms:created>
  <dcterms:modified xsi:type="dcterms:W3CDTF">2026-09-08T07:51:35Z</dcterms:modified>
</cp:coreProperties>
</file>