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четчики магазина" sheetId="1" state="visible" r:id="rId2"/>
    <sheet name="Счетчики арендаторов 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<sst xmlns="http://schemas.openxmlformats.org/spreadsheetml/2006/main" count="340" uniqueCount="119">
  <si>
    <t xml:space="preserve">№ лічильника</t>
  </si>
  <si>
    <t xml:space="preserve">Вид енергоносія</t>
  </si>
  <si>
    <t xml:space="preserve">Коеф. трансформації</t>
  </si>
  <si>
    <r>
      <rPr>
        <sz val="16"/>
        <color rgb="FF000000"/>
        <rFont val="Arial Narrow"/>
        <family val="2"/>
        <charset val="204"/>
      </rPr>
      <t xml:space="preserve">Магазин № </t>
    </r>
    <r>
      <rPr>
        <b val="true"/>
        <sz val="16"/>
        <color rgb="FF000000"/>
        <rFont val="Arial Narrow"/>
        <family val="2"/>
        <charset val="204"/>
      </rPr>
      <t xml:space="preserve"> 9</t>
    </r>
    <r>
      <rPr>
        <sz val="16"/>
        <color rgb="FF000000"/>
        <rFont val="Arial Narrow"/>
        <family val="2"/>
        <charset val="204"/>
      </rPr>
      <t xml:space="preserve">            Показники лічильників 2021</t>
    </r>
  </si>
  <si>
    <t xml:space="preserve">Магазин №1/1            Показники лічильників 2022</t>
  </si>
  <si>
    <t xml:space="preserve">Магазин №1/1            Показники лічильників 2023</t>
  </si>
  <si>
    <t xml:space="preserve">Магазин №1/1            Показники лічильників 2024</t>
  </si>
  <si>
    <t xml:space="preserve">г.Житомир, пр. Мира, 15            Магазин №1/1            Показники лічильників 2025</t>
  </si>
  <si>
    <t xml:space="preserve">г.Житомир, пр. Мира, 15            Магазин №1/1            Показники лічильників 2026</t>
  </si>
  <si>
    <t xml:space="preserve">Січень   Январь</t>
  </si>
  <si>
    <t xml:space="preserve">Лютий   Февраль</t>
  </si>
  <si>
    <t xml:space="preserve">Березень   Март</t>
  </si>
  <si>
    <t xml:space="preserve">Квітень    Апрель</t>
  </si>
  <si>
    <t xml:space="preserve">Травень   Май</t>
  </si>
  <si>
    <t xml:space="preserve">Червень Июнь</t>
  </si>
  <si>
    <t xml:space="preserve">Липень  Июль</t>
  </si>
  <si>
    <t xml:space="preserve">Серпень Август</t>
  </si>
  <si>
    <t xml:space="preserve">Вересень  Сентябрь</t>
  </si>
  <si>
    <t xml:space="preserve">Жовтень  Октябрь</t>
  </si>
  <si>
    <t xml:space="preserve">Листопад   Ноябрь</t>
  </si>
  <si>
    <t xml:space="preserve">Грудень  Декабрь</t>
  </si>
  <si>
    <t xml:space="preserve">Дата зняття 01.01.2021</t>
  </si>
  <si>
    <t xml:space="preserve">Дата зняття 01.02.2021</t>
  </si>
  <si>
    <t xml:space="preserve">Дата зняття 01.03.2021</t>
  </si>
  <si>
    <t xml:space="preserve">Дата зняття 01.04.2021</t>
  </si>
  <si>
    <t xml:space="preserve">Дата зняття 01.05.2021</t>
  </si>
  <si>
    <t xml:space="preserve">Дата зняття 01.06.2021</t>
  </si>
  <si>
    <t xml:space="preserve">Дата зняття 01.07.2021</t>
  </si>
  <si>
    <t xml:space="preserve">Дата зняття 01.08.2021</t>
  </si>
  <si>
    <t xml:space="preserve">Дата зняття 01.09.2021</t>
  </si>
  <si>
    <t xml:space="preserve">Дата зняття 01.10.2021</t>
  </si>
  <si>
    <t xml:space="preserve">Дата зняття 01.11.2021</t>
  </si>
  <si>
    <t xml:space="preserve">Дата зняття 30.12.2021</t>
  </si>
  <si>
    <t xml:space="preserve">Дата зняття 31.01.2022</t>
  </si>
  <si>
    <t xml:space="preserve">Дата зняття 31.02.2022</t>
  </si>
  <si>
    <t xml:space="preserve">Дата зняття 31.03.2022</t>
  </si>
  <si>
    <t xml:space="preserve">Дата зняття 31.04.2022</t>
  </si>
  <si>
    <t xml:space="preserve">Дата зняття 01.05.2022</t>
  </si>
  <si>
    <t xml:space="preserve">Дата зняття 01.06.2022</t>
  </si>
  <si>
    <t xml:space="preserve">Дата зняття 01.07.2022</t>
  </si>
  <si>
    <t xml:space="preserve">Дата зняття 01.08.2022</t>
  </si>
  <si>
    <t xml:space="preserve">Дата зняття 01.09.2022</t>
  </si>
  <si>
    <t xml:space="preserve">Дата зняття 01.10.2022</t>
  </si>
  <si>
    <t xml:space="preserve">Дата зняття 01.11.2022</t>
  </si>
  <si>
    <t xml:space="preserve">Дата зняття 01.12.2022</t>
  </si>
  <si>
    <t xml:space="preserve">Дата зняття 31.12.2022</t>
  </si>
  <si>
    <t xml:space="preserve">Дата зняття 31.01.2023</t>
  </si>
  <si>
    <t xml:space="preserve">Дата зняття 31.02.2023</t>
  </si>
  <si>
    <t xml:space="preserve">Дата зняття 31.03.2023</t>
  </si>
  <si>
    <t xml:space="preserve">Дата зняття 31.04.2023</t>
  </si>
  <si>
    <t xml:space="preserve">Дата зняття 31.05.2023</t>
  </si>
  <si>
    <t xml:space="preserve">Дата зняття 31.06.2023</t>
  </si>
  <si>
    <t xml:space="preserve">Дата зняття 31.07.2023</t>
  </si>
  <si>
    <t xml:space="preserve">Дата зняття 31.08.2023</t>
  </si>
  <si>
    <t xml:space="preserve">Дата зняття 31.09.2023</t>
  </si>
  <si>
    <t xml:space="preserve">Дата зняття 31.10.2023</t>
  </si>
  <si>
    <t xml:space="preserve">Дата зняття 31.11.2023</t>
  </si>
  <si>
    <t xml:space="preserve">Дата зняття 31.12.2023</t>
  </si>
  <si>
    <t xml:space="preserve">Дата зняття 31.01.2024</t>
  </si>
  <si>
    <t xml:space="preserve">Дата зняття 31.02.2024</t>
  </si>
  <si>
    <t xml:space="preserve">Дата зняття 31.03.2024</t>
  </si>
  <si>
    <t xml:space="preserve">Дата зняття 31.04.2024</t>
  </si>
  <si>
    <t xml:space="preserve">Дата зняття 31.05.2024</t>
  </si>
  <si>
    <t xml:space="preserve">Дата зняття 31.06.2024</t>
  </si>
  <si>
    <t xml:space="preserve">Дата зняття 31.07.2024</t>
  </si>
  <si>
    <t xml:space="preserve">Дата зняття 31.08.2024</t>
  </si>
  <si>
    <t xml:space="preserve">Дата зняття 31.09.2024</t>
  </si>
  <si>
    <t xml:space="preserve">Дата зняття 31.10.2024</t>
  </si>
  <si>
    <t xml:space="preserve">Дата зняття 31.11.2024</t>
  </si>
  <si>
    <t xml:space="preserve">Дата зняття 31.12.2024</t>
  </si>
  <si>
    <t xml:space="preserve">Дата зняття 31.01.2025</t>
  </si>
  <si>
    <t xml:space="preserve">Дата зняття 28.02.2025</t>
  </si>
  <si>
    <t xml:space="preserve">Дата зняття 31.03.2025</t>
  </si>
  <si>
    <t xml:space="preserve">Дата зняття 30.04.2025</t>
  </si>
  <si>
    <t xml:space="preserve">Дата зняття 31.05.2025</t>
  </si>
  <si>
    <t xml:space="preserve">Дата зняття 30.06.2025</t>
  </si>
  <si>
    <t xml:space="preserve">Дата зняття 31.07.2025</t>
  </si>
  <si>
    <t xml:space="preserve">Дата зняття 31.08.2025</t>
  </si>
  <si>
    <t xml:space="preserve">Дата зняття 30.09.2025</t>
  </si>
  <si>
    <t xml:space="preserve">Дата зняття 31.10.2025</t>
  </si>
  <si>
    <t xml:space="preserve">Дата зняття 30.11.2025</t>
  </si>
  <si>
    <t xml:space="preserve">Дата зняття 31.12.2025</t>
  </si>
  <si>
    <t xml:space="preserve">Дата зняття 31.01.2026</t>
  </si>
  <si>
    <t xml:space="preserve">Дата зняття 28.02.2026</t>
  </si>
  <si>
    <t xml:space="preserve">Дата зняття 31.03.2026</t>
  </si>
  <si>
    <t xml:space="preserve">Дата зняття 30.04.2026</t>
  </si>
  <si>
    <t xml:space="preserve">Дата зняття 31.05.2026</t>
  </si>
  <si>
    <t xml:space="preserve">Дата зняття 30.06.2026</t>
  </si>
  <si>
    <t xml:space="preserve">Дата зняття 31.07.2026</t>
  </si>
  <si>
    <t xml:space="preserve">Дата зняття 31.08.2026</t>
  </si>
  <si>
    <t xml:space="preserve">Дата зняття 30.09.2026</t>
  </si>
  <si>
    <t xml:space="preserve">Дата зняття 31.10.2026</t>
  </si>
  <si>
    <t xml:space="preserve">Дата зняття 30.11.2026</t>
  </si>
  <si>
    <t xml:space="preserve">Дата зняття 31.12.2026</t>
  </si>
  <si>
    <t xml:space="preserve">NIK 2303L APK1 №8044352</t>
  </si>
  <si>
    <t xml:space="preserve">Активна е/е  (1.8.0. или15.8.0)</t>
  </si>
  <si>
    <t xml:space="preserve">Реактивна  е/е. (3.8.0)</t>
  </si>
  <si>
    <t xml:space="preserve">HIDROTECH E-T 1,5-U №102287506</t>
  </si>
  <si>
    <t xml:space="preserve">Водопостачання</t>
  </si>
  <si>
    <t xml:space="preserve">Всего</t>
  </si>
  <si>
    <t xml:space="preserve">Всего 2022</t>
  </si>
  <si>
    <t xml:space="preserve">Всего 2023</t>
  </si>
  <si>
    <t xml:space="preserve">Всего 2024</t>
  </si>
  <si>
    <t xml:space="preserve">Всего 2025</t>
  </si>
  <si>
    <t xml:space="preserve">Використано</t>
  </si>
  <si>
    <t xml:space="preserve">Активна</t>
  </si>
  <si>
    <t xml:space="preserve">Реактив</t>
  </si>
  <si>
    <t xml:space="preserve">Вода</t>
  </si>
  <si>
    <t xml:space="preserve">                                        </t>
  </si>
  <si>
    <r>
      <rPr>
        <sz val="16"/>
        <color rgb="FF000000"/>
        <rFont val="Arial Narrow"/>
        <family val="2"/>
        <charset val="204"/>
      </rPr>
      <t xml:space="preserve">Магазин № </t>
    </r>
    <r>
      <rPr>
        <b val="true"/>
        <sz val="16"/>
        <color rgb="FF000000"/>
        <rFont val="Arial Narrow"/>
        <family val="2"/>
        <charset val="204"/>
      </rPr>
      <t xml:space="preserve">1/1</t>
    </r>
    <r>
      <rPr>
        <sz val="16"/>
        <color rgb="FF000000"/>
        <rFont val="Arial Narrow"/>
        <family val="2"/>
        <charset val="204"/>
      </rPr>
      <t xml:space="preserve">            Показники лічильників 2021</t>
    </r>
  </si>
  <si>
    <t xml:space="preserve">Дата зняття 08.08.2022</t>
  </si>
  <si>
    <t xml:space="preserve">Дата зняття 29.02.2024</t>
  </si>
  <si>
    <t xml:space="preserve">Дата зняття 30.04.2024</t>
  </si>
  <si>
    <t xml:space="preserve">Дата зняття 30.06.2024</t>
  </si>
  <si>
    <t xml:space="preserve">Дата зняття 30.09.2024</t>
  </si>
  <si>
    <t xml:space="preserve">Дата зняття 30.11.2024</t>
  </si>
  <si>
    <t xml:space="preserve">NIK 2303L APK1 №0854007</t>
  </si>
  <si>
    <t xml:space="preserve">Активна е/е  </t>
  </si>
  <si>
    <t xml:space="preserve">                                           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</si>
</sst>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FC22]d\ mmmm\ yyyy&quot; р.&quot;;@"/>
    <numFmt numFmtId="166" formatCode="#\ ##0.00"/>
    <numFmt numFmtId="167" formatCode="0.00"/>
  </numFmts>
  <fonts count="8">
    <font>
      <sz val="11"/>
      <color rgb="FF000000"/>
      <name val="Calibri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4"/>
      <color rgb="FF000000"/>
      <name val="Arial Narrow"/>
      <family val="2"/>
      <charset val="204"/>
    </font>
    <font>
      <sz val="16"/>
      <color rgb="FF000000"/>
      <name val="Arial Narrow"/>
      <family val="2"/>
      <charset val="204"/>
    </font>
    <font>
      <b val="true"/>
      <sz val="16"/>
      <color rgb="FF000000"/>
      <name val="Arial Narrow"/>
      <family val="2"/>
      <charset val="204"/>
    </font>
    <font>
      <b val="true"/>
      <sz val="14"/>
      <color rgb="FF000000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E2F0D9"/>
      </patternFill>
    </fill>
    <fill>
      <patternFill patternType="solid">
        <fgColor rgb="FFFFFFFF"/>
        <bgColor rgb="FFFFF2CC"/>
      </patternFill>
    </fill>
    <fill>
      <patternFill patternType="solid">
        <fgColor rgb="FFE2F0D9"/>
        <bgColor rgb="FFDAE3F3"/>
      </patternFill>
    </fill>
    <fill>
      <patternFill patternType="solid">
        <fgColor rgb="FFFFFF00"/>
        <bgColor rgb="FFFFFF00"/>
      </patternFill>
    </fill>
    <fill>
      <patternFill patternType="solid">
        <fgColor rgb="FFC5E0B4"/>
        <bgColor rgb="FFE2F0D9"/>
      </patternFill>
    </fill>
    <fill>
      <patternFill patternType="solid">
        <fgColor rgb="FFDAE3F3"/>
        <bgColor rgb="FFE2F0D9"/>
      </patternFill>
    </fill>
  </fills>
  <borders count="4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4" borderId="1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4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4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4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4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6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4" fillId="6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4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6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4" fillId="6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4" fillId="6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4" fillId="6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6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4" fillId="6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4" fillId="6" borderId="1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4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6" borderId="1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4" fillId="6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4" fillId="6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4" fillId="6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6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4" fillId="6" borderId="2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4" fillId="6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5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6" borderId="2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4" fillId="6" borderId="2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4" fillId="6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4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6" borderId="2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4" fillId="6" borderId="2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6" borderId="1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4" fillId="6" borderId="2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4" fillId="6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6" borderId="2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6" borderId="3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4" fillId="6" borderId="3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6" borderId="3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4" fillId="6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6" borderId="3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7" borderId="3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7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7" borderId="3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7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7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7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7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7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7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7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7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7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7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7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7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7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7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7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7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7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7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7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7" borderId="4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7" borderId="4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3:CD2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3" ySplit="0" topLeftCell="BN1" activePane="topRight" state="frozen"/>
      <selection pane="topLeft" activeCell="A1" activeCellId="0" sqref="A1"/>
      <selection pane="topRight" activeCell="BW10" activeCellId="0" sqref="BW10"/>
    </sheetView>
  </sheetViews>
  <sheetFormatPr defaultColWidth="9.35546875" defaultRowHeight="15" zeroHeight="false" outlineLevelRow="0" outlineLevelCol="0"/>
  <cols>
    <col collapsed="false" customWidth="true" hidden="false" outlineLevel="0" max="1" min="1" style="0" width="26.85"/>
    <col collapsed="false" customWidth="true" hidden="false" outlineLevel="0" max="2" min="2" style="0" width="19"/>
    <col collapsed="false" customWidth="true" hidden="false" outlineLevel="0" max="3" min="3" style="0" width="10"/>
    <col collapsed="false" customWidth="true" hidden="false" outlineLevel="0" max="4" min="4" style="0" width="16.57"/>
    <col collapsed="false" customWidth="true" hidden="false" outlineLevel="0" max="5" min="5" style="0" width="17.71"/>
    <col collapsed="false" customWidth="true" hidden="false" outlineLevel="0" max="6" min="6" style="0" width="16.57"/>
    <col collapsed="false" customWidth="true" hidden="false" outlineLevel="0" max="7" min="7" style="0" width="17.86"/>
    <col collapsed="false" customWidth="true" hidden="false" outlineLevel="0" max="8" min="8" style="0" width="14.69"/>
    <col collapsed="false" customWidth="true" hidden="false" outlineLevel="0" max="9" min="9" style="0" width="14.01"/>
    <col collapsed="false" customWidth="true" hidden="false" outlineLevel="0" max="10" min="10" style="0" width="14.15"/>
    <col collapsed="false" customWidth="true" hidden="false" outlineLevel="0" max="11" min="11" style="0" width="16.41"/>
    <col collapsed="false" customWidth="true" hidden="false" outlineLevel="0" max="12" min="12" style="0" width="15.57"/>
    <col collapsed="false" customWidth="true" hidden="false" outlineLevel="0" max="13" min="13" style="0" width="14.43"/>
    <col collapsed="false" customWidth="true" hidden="false" outlineLevel="0" max="14" min="14" style="0" width="15.57"/>
    <col collapsed="false" customWidth="true" hidden="false" outlineLevel="0" max="15" min="15" style="0" width="16"/>
    <col collapsed="false" customWidth="true" hidden="false" outlineLevel="0" max="16" min="16" style="0" width="14.43"/>
    <col collapsed="false" customWidth="true" hidden="false" outlineLevel="0" max="29" min="17" style="0" width="13.43"/>
    <col collapsed="false" customWidth="true" hidden="false" outlineLevel="0" max="30" min="30" style="0" width="14.86"/>
    <col collapsed="false" customWidth="true" hidden="false" outlineLevel="0" max="35" min="31" style="0" width="13.7"/>
    <col collapsed="false" customWidth="true" hidden="false" outlineLevel="0" max="36" min="36" style="0" width="14.69"/>
    <col collapsed="false" customWidth="true" hidden="false" outlineLevel="0" max="42" min="37" style="0" width="13.7"/>
    <col collapsed="false" customWidth="true" hidden="false" outlineLevel="0" max="43" min="43" style="0" width="14.69"/>
    <col collapsed="false" customWidth="true" hidden="false" outlineLevel="0" max="44" min="44" style="0" width="16"/>
    <col collapsed="false" customWidth="true" hidden="false" outlineLevel="0" max="55" min="45" style="0" width="13.57"/>
    <col collapsed="false" customWidth="true" hidden="false" outlineLevel="0" max="56" min="56" style="0" width="13.29"/>
    <col collapsed="false" customWidth="true" hidden="false" outlineLevel="0" max="69" min="57" style="0" width="13.57"/>
    <col collapsed="false" customWidth="true" hidden="false" outlineLevel="0" max="82" min="70" style="0" width="14.69"/>
  </cols>
  <sheetData>
    <row r="3" customFormat="false" ht="18.75" hidden="false" customHeight="true" outlineLevel="0" collapsed="false">
      <c r="A3" s="1" t="s">
        <v>0</v>
      </c>
      <c r="B3" s="2" t="s">
        <v>1</v>
      </c>
      <c r="C3" s="2" t="s">
        <v>2</v>
      </c>
      <c r="D3" s="3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Q3" s="3" t="s">
        <v>4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4"/>
      <c r="AE3" s="3" t="s">
        <v>5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R3" s="3" t="s">
        <v>6</v>
      </c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E3" s="5" t="s">
        <v>7</v>
      </c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R3" s="5" t="s">
        <v>8</v>
      </c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</row>
    <row r="4" customFormat="false" ht="55.5" hidden="false" customHeight="true" outlineLevel="0" collapsed="false">
      <c r="A4" s="1"/>
      <c r="B4" s="2"/>
      <c r="C4" s="2"/>
      <c r="D4" s="6" t="s">
        <v>9</v>
      </c>
      <c r="E4" s="7" t="s">
        <v>10</v>
      </c>
      <c r="F4" s="7" t="s">
        <v>11</v>
      </c>
      <c r="G4" s="6" t="s">
        <v>12</v>
      </c>
      <c r="H4" s="6" t="s">
        <v>13</v>
      </c>
      <c r="I4" s="8" t="s">
        <v>14</v>
      </c>
      <c r="J4" s="6" t="s">
        <v>15</v>
      </c>
      <c r="K4" s="8" t="s">
        <v>16</v>
      </c>
      <c r="L4" s="6" t="s">
        <v>17</v>
      </c>
      <c r="M4" s="8" t="s">
        <v>18</v>
      </c>
      <c r="N4" s="6" t="s">
        <v>19</v>
      </c>
      <c r="O4" s="9" t="s">
        <v>20</v>
      </c>
      <c r="Q4" s="10" t="s">
        <v>20</v>
      </c>
      <c r="R4" s="11" t="s">
        <v>9</v>
      </c>
      <c r="S4" s="11" t="s">
        <v>10</v>
      </c>
      <c r="T4" s="11" t="s">
        <v>11</v>
      </c>
      <c r="U4" s="11" t="s">
        <v>12</v>
      </c>
      <c r="V4" s="11" t="s">
        <v>13</v>
      </c>
      <c r="W4" s="11" t="s">
        <v>14</v>
      </c>
      <c r="X4" s="11" t="s">
        <v>15</v>
      </c>
      <c r="Y4" s="11" t="s">
        <v>16</v>
      </c>
      <c r="Z4" s="11" t="s">
        <v>17</v>
      </c>
      <c r="AA4" s="11" t="s">
        <v>18</v>
      </c>
      <c r="AB4" s="11" t="s">
        <v>19</v>
      </c>
      <c r="AC4" s="12" t="s">
        <v>20</v>
      </c>
      <c r="AE4" s="6" t="s">
        <v>9</v>
      </c>
      <c r="AF4" s="7" t="s">
        <v>10</v>
      </c>
      <c r="AG4" s="7" t="s">
        <v>11</v>
      </c>
      <c r="AH4" s="6" t="s">
        <v>12</v>
      </c>
      <c r="AI4" s="6" t="s">
        <v>13</v>
      </c>
      <c r="AJ4" s="8" t="s">
        <v>14</v>
      </c>
      <c r="AK4" s="6" t="s">
        <v>15</v>
      </c>
      <c r="AL4" s="8" t="s">
        <v>16</v>
      </c>
      <c r="AM4" s="6" t="s">
        <v>17</v>
      </c>
      <c r="AN4" s="8" t="s">
        <v>18</v>
      </c>
      <c r="AO4" s="6" t="s">
        <v>19</v>
      </c>
      <c r="AP4" s="9" t="s">
        <v>20</v>
      </c>
      <c r="AR4" s="6" t="s">
        <v>9</v>
      </c>
      <c r="AS4" s="7" t="s">
        <v>10</v>
      </c>
      <c r="AT4" s="7" t="s">
        <v>11</v>
      </c>
      <c r="AU4" s="6" t="s">
        <v>12</v>
      </c>
      <c r="AV4" s="6" t="s">
        <v>13</v>
      </c>
      <c r="AW4" s="8" t="s">
        <v>14</v>
      </c>
      <c r="AX4" s="6" t="s">
        <v>15</v>
      </c>
      <c r="AY4" s="8" t="s">
        <v>16</v>
      </c>
      <c r="AZ4" s="6" t="s">
        <v>17</v>
      </c>
      <c r="BA4" s="8" t="s">
        <v>18</v>
      </c>
      <c r="BB4" s="6" t="s">
        <v>19</v>
      </c>
      <c r="BC4" s="9" t="s">
        <v>20</v>
      </c>
      <c r="BE4" s="6" t="s">
        <v>9</v>
      </c>
      <c r="BF4" s="7" t="s">
        <v>10</v>
      </c>
      <c r="BG4" s="7" t="s">
        <v>11</v>
      </c>
      <c r="BH4" s="6" t="s">
        <v>12</v>
      </c>
      <c r="BI4" s="6" t="s">
        <v>13</v>
      </c>
      <c r="BJ4" s="8" t="s">
        <v>14</v>
      </c>
      <c r="BK4" s="6" t="s">
        <v>15</v>
      </c>
      <c r="BL4" s="8" t="s">
        <v>16</v>
      </c>
      <c r="BM4" s="6" t="s">
        <v>17</v>
      </c>
      <c r="BN4" s="8" t="s">
        <v>18</v>
      </c>
      <c r="BO4" s="6" t="s">
        <v>19</v>
      </c>
      <c r="BP4" s="9" t="s">
        <v>20</v>
      </c>
      <c r="BR4" s="6" t="s">
        <v>9</v>
      </c>
      <c r="BS4" s="7" t="s">
        <v>10</v>
      </c>
      <c r="BT4" s="7" t="s">
        <v>11</v>
      </c>
      <c r="BU4" s="6" t="s">
        <v>12</v>
      </c>
      <c r="BV4" s="6" t="s">
        <v>13</v>
      </c>
      <c r="BW4" s="8" t="s">
        <v>14</v>
      </c>
      <c r="BX4" s="6" t="s">
        <v>15</v>
      </c>
      <c r="BY4" s="8" t="s">
        <v>16</v>
      </c>
      <c r="BZ4" s="6" t="s">
        <v>17</v>
      </c>
      <c r="CA4" s="8" t="s">
        <v>18</v>
      </c>
      <c r="CB4" s="6" t="s">
        <v>19</v>
      </c>
      <c r="CC4" s="9" t="s">
        <v>20</v>
      </c>
    </row>
    <row r="5" customFormat="false" ht="49.5" hidden="false" customHeight="true" outlineLevel="0" collapsed="false">
      <c r="A5" s="1"/>
      <c r="B5" s="1"/>
      <c r="C5" s="2"/>
      <c r="D5" s="13" t="s">
        <v>21</v>
      </c>
      <c r="E5" s="13" t="s">
        <v>22</v>
      </c>
      <c r="F5" s="13" t="s">
        <v>23</v>
      </c>
      <c r="G5" s="13" t="s">
        <v>24</v>
      </c>
      <c r="H5" s="13" t="s">
        <v>25</v>
      </c>
      <c r="I5" s="14" t="s">
        <v>26</v>
      </c>
      <c r="J5" s="13" t="s">
        <v>27</v>
      </c>
      <c r="K5" s="14" t="s">
        <v>28</v>
      </c>
      <c r="L5" s="13" t="s">
        <v>29</v>
      </c>
      <c r="M5" s="14" t="s">
        <v>30</v>
      </c>
      <c r="N5" s="13" t="s">
        <v>31</v>
      </c>
      <c r="O5" s="15" t="s">
        <v>32</v>
      </c>
      <c r="Q5" s="16" t="s">
        <v>33</v>
      </c>
      <c r="R5" s="17" t="s">
        <v>34</v>
      </c>
      <c r="S5" s="17" t="s">
        <v>35</v>
      </c>
      <c r="T5" s="17" t="s">
        <v>36</v>
      </c>
      <c r="U5" s="17" t="s">
        <v>37</v>
      </c>
      <c r="V5" s="17" t="s">
        <v>38</v>
      </c>
      <c r="W5" s="17" t="s">
        <v>39</v>
      </c>
      <c r="X5" s="17" t="s">
        <v>40</v>
      </c>
      <c r="Y5" s="17" t="s">
        <v>41</v>
      </c>
      <c r="Z5" s="17" t="s">
        <v>42</v>
      </c>
      <c r="AA5" s="17" t="s">
        <v>43</v>
      </c>
      <c r="AB5" s="17" t="s">
        <v>44</v>
      </c>
      <c r="AC5" s="18" t="s">
        <v>45</v>
      </c>
      <c r="AE5" s="13" t="s">
        <v>46</v>
      </c>
      <c r="AF5" s="13" t="s">
        <v>47</v>
      </c>
      <c r="AG5" s="13" t="s">
        <v>48</v>
      </c>
      <c r="AH5" s="13" t="s">
        <v>49</v>
      </c>
      <c r="AI5" s="13" t="s">
        <v>50</v>
      </c>
      <c r="AJ5" s="13" t="s">
        <v>51</v>
      </c>
      <c r="AK5" s="13" t="s">
        <v>52</v>
      </c>
      <c r="AL5" s="13" t="s">
        <v>53</v>
      </c>
      <c r="AM5" s="13" t="s">
        <v>54</v>
      </c>
      <c r="AN5" s="13" t="s">
        <v>55</v>
      </c>
      <c r="AO5" s="13" t="s">
        <v>56</v>
      </c>
      <c r="AP5" s="13" t="s">
        <v>57</v>
      </c>
      <c r="AR5" s="13" t="s">
        <v>58</v>
      </c>
      <c r="AS5" s="13" t="s">
        <v>59</v>
      </c>
      <c r="AT5" s="13" t="s">
        <v>60</v>
      </c>
      <c r="AU5" s="13" t="s">
        <v>61</v>
      </c>
      <c r="AV5" s="13" t="s">
        <v>62</v>
      </c>
      <c r="AW5" s="13" t="s">
        <v>63</v>
      </c>
      <c r="AX5" s="13" t="s">
        <v>64</v>
      </c>
      <c r="AY5" s="13" t="s">
        <v>65</v>
      </c>
      <c r="AZ5" s="13" t="s">
        <v>66</v>
      </c>
      <c r="BA5" s="13" t="s">
        <v>67</v>
      </c>
      <c r="BB5" s="13" t="s">
        <v>68</v>
      </c>
      <c r="BC5" s="13" t="s">
        <v>69</v>
      </c>
      <c r="BE5" s="13" t="s">
        <v>70</v>
      </c>
      <c r="BF5" s="13" t="s">
        <v>71</v>
      </c>
      <c r="BG5" s="13" t="s">
        <v>72</v>
      </c>
      <c r="BH5" s="13" t="s">
        <v>73</v>
      </c>
      <c r="BI5" s="13" t="s">
        <v>74</v>
      </c>
      <c r="BJ5" s="13" t="s">
        <v>75</v>
      </c>
      <c r="BK5" s="13" t="s">
        <v>76</v>
      </c>
      <c r="BL5" s="13" t="s">
        <v>77</v>
      </c>
      <c r="BM5" s="13" t="s">
        <v>78</v>
      </c>
      <c r="BN5" s="13" t="s">
        <v>79</v>
      </c>
      <c r="BO5" s="13" t="s">
        <v>80</v>
      </c>
      <c r="BP5" s="13" t="s">
        <v>81</v>
      </c>
      <c r="BR5" s="13" t="s">
        <v>82</v>
      </c>
      <c r="BS5" s="13" t="s">
        <v>83</v>
      </c>
      <c r="BT5" s="13" t="s">
        <v>84</v>
      </c>
      <c r="BU5" s="13" t="s">
        <v>85</v>
      </c>
      <c r="BV5" s="13" t="s">
        <v>86</v>
      </c>
      <c r="BW5" s="13" t="s">
        <v>87</v>
      </c>
      <c r="BX5" s="13" t="s">
        <v>88</v>
      </c>
      <c r="BY5" s="13" t="s">
        <v>89</v>
      </c>
      <c r="BZ5" s="13" t="s">
        <v>90</v>
      </c>
      <c r="CA5" s="13" t="s">
        <v>91</v>
      </c>
      <c r="CB5" s="13" t="s">
        <v>92</v>
      </c>
      <c r="CC5" s="13" t="s">
        <v>93</v>
      </c>
    </row>
    <row r="6" customFormat="false" ht="39.75" hidden="false" customHeight="true" outlineLevel="0" collapsed="false">
      <c r="A6" s="19" t="s">
        <v>94</v>
      </c>
      <c r="B6" s="20" t="s">
        <v>95</v>
      </c>
      <c r="C6" s="21" t="n">
        <v>100</v>
      </c>
      <c r="D6" s="22"/>
      <c r="E6" s="23"/>
      <c r="F6" s="23"/>
      <c r="G6" s="23"/>
      <c r="H6" s="23"/>
      <c r="I6" s="22"/>
      <c r="J6" s="23"/>
      <c r="K6" s="22"/>
      <c r="L6" s="23"/>
      <c r="M6" s="24"/>
      <c r="N6" s="25"/>
      <c r="O6" s="26"/>
      <c r="Q6" s="27" t="n">
        <v>77286.23</v>
      </c>
      <c r="R6" s="25" t="n">
        <v>78068.45</v>
      </c>
      <c r="S6" s="25" t="n">
        <v>78502.17</v>
      </c>
      <c r="T6" s="25" t="n">
        <v>78776.39</v>
      </c>
      <c r="U6" s="25" t="n">
        <v>79057.25</v>
      </c>
      <c r="V6" s="25" t="n">
        <v>79423.03</v>
      </c>
      <c r="W6" s="25" t="n">
        <v>79827.29</v>
      </c>
      <c r="X6" s="25" t="n">
        <v>80240.81</v>
      </c>
      <c r="Y6" s="25" t="n">
        <v>80691</v>
      </c>
      <c r="Z6" s="24" t="n">
        <v>81048.03</v>
      </c>
      <c r="AA6" s="25" t="n">
        <v>81486.92</v>
      </c>
      <c r="AB6" s="25" t="n">
        <v>81872.66</v>
      </c>
      <c r="AC6" s="28" t="n">
        <v>82253.47</v>
      </c>
      <c r="AE6" s="27" t="n">
        <v>82745.09</v>
      </c>
      <c r="AF6" s="25" t="n">
        <v>83146.62</v>
      </c>
      <c r="AG6" s="25" t="n">
        <v>83601.89</v>
      </c>
      <c r="AH6" s="25" t="n">
        <v>83986.55</v>
      </c>
      <c r="AI6" s="25" t="n">
        <v>84399.19</v>
      </c>
      <c r="AJ6" s="25" t="n">
        <v>84805.23</v>
      </c>
      <c r="AK6" s="25" t="n">
        <v>85273.6</v>
      </c>
      <c r="AL6" s="25" t="n">
        <v>85726.93</v>
      </c>
      <c r="AM6" s="25" t="n">
        <v>86201.23</v>
      </c>
      <c r="AN6" s="24" t="n">
        <v>86562.9</v>
      </c>
      <c r="AO6" s="25" t="n">
        <v>87059.11</v>
      </c>
      <c r="AP6" s="28" t="n">
        <v>87513.92</v>
      </c>
      <c r="AR6" s="27" t="n">
        <v>87997.46</v>
      </c>
      <c r="AS6" s="25" t="n">
        <v>88443.23</v>
      </c>
      <c r="AT6" s="25" t="n">
        <v>88914.53</v>
      </c>
      <c r="AU6" s="25" t="n">
        <v>89317.06</v>
      </c>
      <c r="AV6" s="25" t="n">
        <v>89742.52</v>
      </c>
      <c r="AW6" s="25" t="n">
        <v>90200.65</v>
      </c>
      <c r="AX6" s="25" t="n">
        <v>90669.45</v>
      </c>
      <c r="AY6" s="25" t="n">
        <v>91114.1</v>
      </c>
      <c r="AZ6" s="25" t="n">
        <v>91530.83</v>
      </c>
      <c r="BA6" s="24" t="n">
        <v>91979.24</v>
      </c>
      <c r="BB6" s="25" t="n">
        <v>92432.98</v>
      </c>
      <c r="BC6" s="25" t="n">
        <v>92902.24</v>
      </c>
      <c r="BE6" s="27" t="n">
        <v>93364.3</v>
      </c>
      <c r="BF6" s="25" t="n">
        <v>93846.47</v>
      </c>
      <c r="BG6" s="25" t="n">
        <v>94283.49</v>
      </c>
      <c r="BH6" s="25" t="n">
        <v>94741.34</v>
      </c>
      <c r="BI6" s="25" t="n">
        <v>95234.12</v>
      </c>
      <c r="BJ6" s="25" t="n">
        <v>95677.05</v>
      </c>
      <c r="BK6" s="25" t="n">
        <v>96173.51</v>
      </c>
      <c r="BL6" s="25" t="n">
        <v>96651.24</v>
      </c>
      <c r="BM6" s="25" t="n">
        <v>97097.17</v>
      </c>
      <c r="BN6" s="24" t="n">
        <v>97579.01</v>
      </c>
      <c r="BO6" s="25" t="n">
        <v>97979.18</v>
      </c>
      <c r="BP6" s="25" t="n">
        <v>98454.9</v>
      </c>
      <c r="BR6" s="27" t="n">
        <v>98919.42</v>
      </c>
      <c r="BS6" s="25" t="n">
        <v>99325.24</v>
      </c>
      <c r="BT6" s="25" t="n">
        <v>99749.23</v>
      </c>
      <c r="BU6" s="25" t="n">
        <v>100193.98</v>
      </c>
      <c r="BV6" s="25" t="n">
        <v>100598.41</v>
      </c>
      <c r="BW6" s="25"/>
      <c r="BX6" s="25"/>
      <c r="BY6" s="25"/>
      <c r="BZ6" s="25"/>
      <c r="CA6" s="24"/>
      <c r="CB6" s="25"/>
      <c r="CC6" s="25"/>
    </row>
    <row r="7" customFormat="false" ht="28.35" hidden="false" customHeight="false" outlineLevel="0" collapsed="false">
      <c r="A7" s="19"/>
      <c r="B7" s="29" t="s">
        <v>96</v>
      </c>
      <c r="C7" s="30" t="n">
        <v>100</v>
      </c>
      <c r="D7" s="31"/>
      <c r="E7" s="32"/>
      <c r="F7" s="32"/>
      <c r="G7" s="32"/>
      <c r="H7" s="32"/>
      <c r="I7" s="33"/>
      <c r="J7" s="32"/>
      <c r="K7" s="33"/>
      <c r="L7" s="32"/>
      <c r="M7" s="34"/>
      <c r="N7" s="35"/>
      <c r="O7" s="36"/>
      <c r="Q7" s="37"/>
      <c r="R7" s="38"/>
      <c r="S7" s="38"/>
      <c r="T7" s="38"/>
      <c r="U7" s="38"/>
      <c r="V7" s="38" t="n">
        <v>27044.69</v>
      </c>
      <c r="W7" s="38" t="n">
        <v>27124.94</v>
      </c>
      <c r="X7" s="38" t="n">
        <v>27204.87</v>
      </c>
      <c r="Y7" s="38" t="n">
        <v>27292</v>
      </c>
      <c r="Z7" s="39" t="n">
        <v>27346.9</v>
      </c>
      <c r="AA7" s="38" t="n">
        <v>27414.58</v>
      </c>
      <c r="AB7" s="38" t="n">
        <v>27470.22</v>
      </c>
      <c r="AC7" s="40" t="n">
        <v>27516.61</v>
      </c>
      <c r="AE7" s="41" t="n">
        <v>27575</v>
      </c>
      <c r="AF7" s="35" t="n">
        <v>27624.76</v>
      </c>
      <c r="AG7" s="35" t="n">
        <v>27688.41</v>
      </c>
      <c r="AH7" s="35" t="n">
        <v>27745.43</v>
      </c>
      <c r="AI7" s="35" t="n">
        <v>27815.01</v>
      </c>
      <c r="AJ7" s="35" t="n">
        <v>27893.66</v>
      </c>
      <c r="AK7" s="35" t="n">
        <v>27981.36</v>
      </c>
      <c r="AL7" s="35" t="n">
        <v>28069.95</v>
      </c>
      <c r="AM7" s="35" t="n">
        <v>28162.75</v>
      </c>
      <c r="AN7" s="34" t="n">
        <v>28219.39</v>
      </c>
      <c r="AO7" s="35" t="n">
        <v>28294.4</v>
      </c>
      <c r="AP7" s="42" t="n">
        <v>28354.77</v>
      </c>
      <c r="AR7" s="41" t="n">
        <v>28419.06</v>
      </c>
      <c r="AS7" s="35" t="n">
        <v>28484.06</v>
      </c>
      <c r="AT7" s="35" t="n">
        <v>28551.19</v>
      </c>
      <c r="AU7" s="35" t="n">
        <v>28622.34</v>
      </c>
      <c r="AV7" s="35" t="n">
        <v>28704.13</v>
      </c>
      <c r="AW7" s="35" t="n">
        <v>28813.83</v>
      </c>
      <c r="AX7" s="35" t="n">
        <v>28926.07</v>
      </c>
      <c r="AY7" s="35" t="n">
        <v>29031.35</v>
      </c>
      <c r="AZ7" s="35" t="n">
        <v>29125.85</v>
      </c>
      <c r="BA7" s="34" t="n">
        <v>29215.99</v>
      </c>
      <c r="BB7" s="35" t="n">
        <v>29283.59</v>
      </c>
      <c r="BC7" s="35" t="n">
        <v>29351.23</v>
      </c>
      <c r="BE7" s="41" t="n">
        <v>29422.9</v>
      </c>
      <c r="BF7" s="35" t="n">
        <v>29486.91</v>
      </c>
      <c r="BG7" s="35" t="n">
        <v>29551.23</v>
      </c>
      <c r="BH7" s="35" t="n">
        <v>29626.83</v>
      </c>
      <c r="BI7" s="35" t="n">
        <v>29722.96</v>
      </c>
      <c r="BJ7" s="35" t="n">
        <v>29830.24</v>
      </c>
      <c r="BK7" s="35" t="n">
        <v>29955.58</v>
      </c>
      <c r="BL7" s="35" t="n">
        <v>30066.99</v>
      </c>
      <c r="BM7" s="35" t="n">
        <v>30164.42</v>
      </c>
      <c r="BN7" s="34" t="n">
        <v>30246.91</v>
      </c>
      <c r="BO7" s="35" t="n">
        <v>30314.63</v>
      </c>
      <c r="BP7" s="35" t="n">
        <v>30384.43</v>
      </c>
      <c r="BR7" s="41" t="n">
        <v>30446.97</v>
      </c>
      <c r="BS7" s="35" t="n">
        <v>30519.39</v>
      </c>
      <c r="BT7" s="35" t="n">
        <v>30618.29</v>
      </c>
      <c r="BU7" s="35" t="n">
        <v>30722.77</v>
      </c>
      <c r="BV7" s="35" t="n">
        <v>30836</v>
      </c>
      <c r="BW7" s="35"/>
      <c r="BX7" s="35"/>
      <c r="BY7" s="35"/>
      <c r="BZ7" s="35"/>
      <c r="CA7" s="34"/>
      <c r="CB7" s="35"/>
      <c r="CC7" s="35"/>
    </row>
    <row r="8" customFormat="false" ht="36" hidden="false" customHeight="true" outlineLevel="0" collapsed="false">
      <c r="A8" s="43" t="s">
        <v>97</v>
      </c>
      <c r="B8" s="44" t="s">
        <v>98</v>
      </c>
      <c r="C8" s="45" t="n">
        <v>1</v>
      </c>
      <c r="D8" s="46"/>
      <c r="E8" s="47"/>
      <c r="F8" s="47"/>
      <c r="G8" s="47"/>
      <c r="H8" s="47"/>
      <c r="I8" s="48"/>
      <c r="J8" s="47"/>
      <c r="K8" s="48"/>
      <c r="L8" s="47"/>
      <c r="M8" s="49"/>
      <c r="N8" s="50"/>
      <c r="O8" s="51"/>
      <c r="P8" s="52" t="s">
        <v>99</v>
      </c>
      <c r="Q8" s="53"/>
      <c r="R8" s="54"/>
      <c r="S8" s="54" t="n">
        <v>6488</v>
      </c>
      <c r="T8" s="54" t="n">
        <v>6543</v>
      </c>
      <c r="U8" s="54" t="n">
        <v>6580</v>
      </c>
      <c r="V8" s="54" t="n">
        <v>6580</v>
      </c>
      <c r="W8" s="54" t="n">
        <v>6686</v>
      </c>
      <c r="X8" s="54" t="n">
        <v>6758</v>
      </c>
      <c r="Y8" s="54" t="n">
        <v>6836</v>
      </c>
      <c r="Z8" s="55" t="n">
        <v>6899</v>
      </c>
      <c r="AA8" s="54" t="n">
        <v>6941</v>
      </c>
      <c r="AB8" s="54" t="n">
        <v>7001</v>
      </c>
      <c r="AC8" s="56" t="n">
        <v>7060</v>
      </c>
      <c r="AD8" s="57" t="s">
        <v>100</v>
      </c>
      <c r="AE8" s="53" t="n">
        <v>7120</v>
      </c>
      <c r="AF8" s="54" t="n">
        <v>7180</v>
      </c>
      <c r="AG8" s="54" t="n">
        <v>7238</v>
      </c>
      <c r="AH8" s="54" t="n">
        <v>7302</v>
      </c>
      <c r="AI8" s="54" t="n">
        <v>7357</v>
      </c>
      <c r="AJ8" s="54" t="n">
        <v>7408</v>
      </c>
      <c r="AK8" s="54" t="n">
        <v>7458</v>
      </c>
      <c r="AL8" s="54" t="n">
        <v>7523</v>
      </c>
      <c r="AM8" s="54" t="n">
        <v>7570</v>
      </c>
      <c r="AN8" s="55" t="n">
        <v>7618</v>
      </c>
      <c r="AO8" s="54" t="n">
        <v>7719</v>
      </c>
      <c r="AP8" s="56" t="n">
        <v>7781</v>
      </c>
      <c r="AQ8" s="57" t="s">
        <v>101</v>
      </c>
      <c r="AR8" s="58" t="n">
        <v>7855</v>
      </c>
      <c r="AS8" s="54" t="n">
        <v>7940</v>
      </c>
      <c r="AT8" s="54" t="n">
        <v>8008</v>
      </c>
      <c r="AU8" s="54" t="n">
        <v>8112</v>
      </c>
      <c r="AV8" s="54" t="n">
        <v>8179</v>
      </c>
      <c r="AW8" s="54" t="n">
        <v>8278</v>
      </c>
      <c r="AX8" s="54" t="n">
        <v>8413</v>
      </c>
      <c r="AY8" s="54" t="n">
        <v>8529</v>
      </c>
      <c r="AZ8" s="54" t="n">
        <v>8624</v>
      </c>
      <c r="BA8" s="55" t="n">
        <v>8703</v>
      </c>
      <c r="BB8" s="54" t="n">
        <v>8783</v>
      </c>
      <c r="BC8" s="59" t="n">
        <v>8842</v>
      </c>
      <c r="BD8" s="60" t="s">
        <v>102</v>
      </c>
      <c r="BE8" s="58" t="n">
        <v>8915</v>
      </c>
      <c r="BF8" s="61" t="n">
        <v>8989</v>
      </c>
      <c r="BG8" s="61" t="n">
        <v>9074</v>
      </c>
      <c r="BH8" s="61" t="n">
        <v>9158</v>
      </c>
      <c r="BI8" s="61" t="n">
        <v>9239</v>
      </c>
      <c r="BJ8" s="61" t="n">
        <v>9312</v>
      </c>
      <c r="BK8" s="61" t="n">
        <v>9413</v>
      </c>
      <c r="BL8" s="61" t="n">
        <v>9477</v>
      </c>
      <c r="BM8" s="61" t="n">
        <v>9557</v>
      </c>
      <c r="BN8" s="62" t="n">
        <v>9625</v>
      </c>
      <c r="BO8" s="61" t="n">
        <v>9694</v>
      </c>
      <c r="BP8" s="63" t="n">
        <v>9765</v>
      </c>
      <c r="BQ8" s="60" t="s">
        <v>103</v>
      </c>
      <c r="BR8" s="58" t="n">
        <v>9839</v>
      </c>
      <c r="BS8" s="61" t="n">
        <v>9895</v>
      </c>
      <c r="BT8" s="61" t="n">
        <v>9965</v>
      </c>
      <c r="BU8" s="61" t="n">
        <v>10054</v>
      </c>
      <c r="BV8" s="61" t="n">
        <v>10119</v>
      </c>
      <c r="BW8" s="61"/>
      <c r="BX8" s="61"/>
      <c r="BY8" s="61"/>
      <c r="BZ8" s="61"/>
      <c r="CA8" s="62"/>
      <c r="CB8" s="61"/>
      <c r="CC8" s="63"/>
      <c r="CD8" s="60" t="s">
        <v>103</v>
      </c>
    </row>
    <row r="9" s="76" customFormat="true" ht="18.75" hidden="false" customHeight="false" outlineLevel="0" collapsed="false">
      <c r="A9" s="64" t="s">
        <v>104</v>
      </c>
      <c r="B9" s="65" t="s">
        <v>105</v>
      </c>
      <c r="C9" s="66"/>
      <c r="D9" s="67" t="str">
        <f aca="false">IF((D6-C6)&lt;=0,"",(D6-C6)*$C$6)</f>
        <v/>
      </c>
      <c r="E9" s="67" t="str">
        <f aca="false">IF((E6-D6)&lt;=0,"",(E6-D6)*$C$6)</f>
        <v/>
      </c>
      <c r="F9" s="67" t="str">
        <f aca="false">IF((F6-E6)&lt;=0,"",(F6-E6)*$C$6)</f>
        <v/>
      </c>
      <c r="G9" s="67" t="str">
        <f aca="false">IF((G6-F6)&lt;=0,"",(G6-F6)*$C$6)</f>
        <v/>
      </c>
      <c r="H9" s="67" t="str">
        <f aca="false">IF((H6-G6)&lt;=0,"",(H6-G6)*$C$6)</f>
        <v/>
      </c>
      <c r="I9" s="67" t="str">
        <f aca="false">IF((I6-H6)&lt;=0,"",(I6-H6)*$C$6)</f>
        <v/>
      </c>
      <c r="J9" s="67" t="str">
        <f aca="false">IF((J6-I6)&lt;=0,"",(J6-I6)*$C$6)</f>
        <v/>
      </c>
      <c r="K9" s="67" t="str">
        <f aca="false">IF((K6-J6)&lt;=0,"",(K6-J6)*$C$6)</f>
        <v/>
      </c>
      <c r="L9" s="67" t="str">
        <f aca="false">IF((L6-K6)&lt;=0,"",(L6-K6)*$C$6)</f>
        <v/>
      </c>
      <c r="M9" s="67"/>
      <c r="N9" s="67" t="str">
        <f aca="false">IF((N6-M6)&lt;=0,"",(N6-M6)*$C$6)</f>
        <v/>
      </c>
      <c r="O9" s="67" t="str">
        <f aca="false">IF((O6-N6)&lt;=0,"",(O6-N6)*$C$6)</f>
        <v/>
      </c>
      <c r="P9" s="67" t="n">
        <f aca="false">SUM(E9:O9)</f>
        <v>0</v>
      </c>
      <c r="Q9" s="68" t="n">
        <f aca="false">IF((Q6-O6)&lt;=0,"",(Q6-O6)*$C$6)</f>
        <v>7728623</v>
      </c>
      <c r="R9" s="68" t="n">
        <f aca="false">IF((R6-Q6)&lt;=0,"",(R6-Q6)*$C$6)</f>
        <v>78222.0000000001</v>
      </c>
      <c r="S9" s="68" t="n">
        <f aca="false">IF((S6-R6)&lt;=0,"",(S6-R6)*$C$6)</f>
        <v>43372.0000000001</v>
      </c>
      <c r="T9" s="68" t="n">
        <f aca="false">IF((T6-S6)&lt;=0,"",(T6-S6)*$C$6)</f>
        <v>27422.0000000001</v>
      </c>
      <c r="U9" s="68" t="n">
        <f aca="false">IF((U6-T6)&lt;=0,"",(U6-T6)*$C$6)</f>
        <v>28086.0000000001</v>
      </c>
      <c r="V9" s="68" t="n">
        <f aca="false">IF((V6-U6)&lt;=0,"",(V6-U6)*$C$6)</f>
        <v>36577.9999999999</v>
      </c>
      <c r="W9" s="68" t="n">
        <f aca="false">IF((W6-V6)&lt;=0,"",(W6-V6)*$C$6)</f>
        <v>40425.9999999995</v>
      </c>
      <c r="X9" s="68" t="n">
        <f aca="false">IF((X6-W6)&lt;=0,"",(X6-W6)*$C$6)</f>
        <v>41352.0000000004</v>
      </c>
      <c r="Y9" s="68" t="n">
        <f aca="false">IF((Y6-X6)&lt;=0,"",(Y6-X6)*$C$6)</f>
        <v>45019.0000000002</v>
      </c>
      <c r="Z9" s="68" t="n">
        <f aca="false">IF((Z6-Y6)&lt;=0,"",(Z6-Y6)*$C$6)</f>
        <v>35702.9999999999</v>
      </c>
      <c r="AA9" s="68" t="n">
        <f aca="false">IF((AA6-Z6)&lt;=0,"",(AA6-Z6)*$C$6)</f>
        <v>43888.9999999999</v>
      </c>
      <c r="AB9" s="68" t="n">
        <f aca="false">IF((AB6-AA6)&lt;=0,"",(AB6-AA6)*$C$6)</f>
        <v>38574.0000000005</v>
      </c>
      <c r="AC9" s="68" t="n">
        <f aca="false">IF((AC6-AB6)&lt;=0,"",(AC6-AB6)*$C$6)</f>
        <v>38080.9999999998</v>
      </c>
      <c r="AD9" s="67" t="n">
        <f aca="false">SUM(R9:AC9)</f>
        <v>496724.000000001</v>
      </c>
      <c r="AE9" s="67" t="n">
        <f aca="false">IF((AE6-AC6)&lt;=0,"",(AE6-AC6)*$C$6)</f>
        <v>49161.9999999995</v>
      </c>
      <c r="AF9" s="67" t="n">
        <f aca="false">IF((AF6-AE6)&lt;=0,"",(AF6-AE6)*$C$6)</f>
        <v>40152.9999999999</v>
      </c>
      <c r="AG9" s="67" t="n">
        <f aca="false">IF((AG6-AF6)&lt;=0,"",(AG6-AF6)*$C$6)</f>
        <v>45527.0000000004</v>
      </c>
      <c r="AH9" s="67" t="n">
        <f aca="false">IF((AH6-AG6)&lt;=0,"",(AH6-AG6)*$C$6)</f>
        <v>38466.0000000003</v>
      </c>
      <c r="AI9" s="67" t="n">
        <f aca="false">IF((AI6-AH6)&lt;=0,"",(AI6-AH6)*$C$6)</f>
        <v>41263.9999999999</v>
      </c>
      <c r="AJ9" s="67" t="n">
        <f aca="false">IF((AJ6-AI6)&lt;=0,"",(AJ6-AI6)*$C$6)</f>
        <v>40603.9999999994</v>
      </c>
      <c r="AK9" s="67" t="n">
        <f aca="false">IF((AK6-AJ6)&lt;=0,"",(AK6-AJ6)*$C$6)</f>
        <v>46837.000000001</v>
      </c>
      <c r="AL9" s="67" t="n">
        <f aca="false">IF((AL6-AK6)&lt;=0,"",(AL6-AK6)*$C$6)</f>
        <v>45332.9999999987</v>
      </c>
      <c r="AM9" s="67" t="n">
        <f aca="false">IF((AM6-AL6)&lt;=0,"",(AM6-AL6)*$C$6)</f>
        <v>47430.0000000003</v>
      </c>
      <c r="AN9" s="67" t="n">
        <f aca="false">IF((AN6-AM6)&lt;=0,"",(AN6-AM6)*$C$6)</f>
        <v>36166.9999999998</v>
      </c>
      <c r="AO9" s="67" t="n">
        <f aca="false">IF((AO6-AN6)&lt;=0,"",(AO6-AN6)*$C$6)</f>
        <v>49621.0000000006</v>
      </c>
      <c r="AP9" s="67" t="n">
        <f aca="false">IF((AP6-AO6)&lt;=0,"",(AP6-AO6)*$C$6)</f>
        <v>45480.9999999998</v>
      </c>
      <c r="AQ9" s="69" t="n">
        <f aca="false">SUM(AF9:AP9)</f>
        <v>476883</v>
      </c>
      <c r="AR9" s="67" t="n">
        <f aca="false">IF((AR6-AP6)&lt;=0,"",(AR6-AP6)*$C$6)</f>
        <v>48354.0000000008</v>
      </c>
      <c r="AS9" s="70" t="n">
        <f aca="false">IF((AS6-AR6)&lt;=0,"",(AS6-AR6)*$C$6)</f>
        <v>44576.999999999</v>
      </c>
      <c r="AT9" s="67" t="n">
        <f aca="false">IF((AT6-AS6)&lt;=0,"",(AT6-AS6)*$C$6)</f>
        <v>47130.0000000003</v>
      </c>
      <c r="AU9" s="67" t="n">
        <f aca="false">IF((AU6-AT6)&lt;=0,"",(AU6-AT6)*$C$6)</f>
        <v>40252.9999999999</v>
      </c>
      <c r="AV9" s="67" t="n">
        <f aca="false">IF((AV6-AU6)&lt;=0,"",(AV6-AU6)*$C$6)</f>
        <v>42546.0000000006</v>
      </c>
      <c r="AW9" s="67" t="n">
        <f aca="false">IF((AW6-AV6)&lt;=0,"",(AW6-AV6)*$C$6)</f>
        <v>45812.999999999</v>
      </c>
      <c r="AX9" s="67" t="n">
        <f aca="false">IF((AX6-AW6)&lt;=0,"",(AX6-AW6)*$C$6)</f>
        <v>46880.0000000003</v>
      </c>
      <c r="AY9" s="67" t="n">
        <f aca="false">IF((AY6-AX6)&lt;=0,"",(AY6-AX6)*$C$6)</f>
        <v>44465.0000000009</v>
      </c>
      <c r="AZ9" s="67" t="n">
        <f aca="false">IF((AZ6-AY6)&lt;=0,"",(AZ6-AY6)*$C$6)</f>
        <v>41672.9999999996</v>
      </c>
      <c r="BA9" s="67" t="n">
        <f aca="false">IF((BA6-AZ6)&lt;=0,"",(BA6-AZ6)*$C$6)</f>
        <v>44841.0000000004</v>
      </c>
      <c r="BB9" s="67" t="n">
        <f aca="false">IF((BB6-BA6)&lt;=0,"",(BB6-BA6)*$C$6)</f>
        <v>45373.9999999991</v>
      </c>
      <c r="BC9" s="71" t="n">
        <f aca="false">IF((BC6-BB6)&lt;=0,"",(BC6-BB6)*$C$6)</f>
        <v>46926.0000000009</v>
      </c>
      <c r="BD9" s="71" t="n">
        <f aca="false">SUM(AS9:BC9)</f>
        <v>490478</v>
      </c>
      <c r="BE9" s="72" t="n">
        <f aca="false">IF((BE6-BC6)&lt;=0,"",(BE6-BC6)*$C$6)</f>
        <v>46205.9999999998</v>
      </c>
      <c r="BF9" s="73" t="n">
        <f aca="false">IF((BF6-BE6)&lt;=0,"",(BF6-BE6)*$C$6)</f>
        <v>48216.9999999998</v>
      </c>
      <c r="BG9" s="73" t="n">
        <f aca="false">IF((BG6-BF6)&lt;=0,"",(BG6-BF6)*$C$6)</f>
        <v>43702.0000000004</v>
      </c>
      <c r="BH9" s="73" t="n">
        <f aca="false">IF((BH6-BG6)&lt;=0,"",(BH6-BG6)*$C$6)</f>
        <v>45784.9999999991</v>
      </c>
      <c r="BI9" s="73" t="n">
        <f aca="false">IF((BI6-BH6)&lt;=0,"",(BI6-BH6)*$C$6)</f>
        <v>49277.9999999999</v>
      </c>
      <c r="BJ9" s="73" t="n">
        <f aca="false">IF((BJ6-BI6)&lt;=0,"",(BJ6-BI6)*$C$6)</f>
        <v>44293.0000000008</v>
      </c>
      <c r="BK9" s="73" t="n">
        <f aca="false">IF((BK6-BJ6)&lt;=0,"",(BK6-BJ6)*$C$6)</f>
        <v>49645.9999999992</v>
      </c>
      <c r="BL9" s="73" t="n">
        <f aca="false">IF((BL6-BK6)&lt;=0,"",(BL6-BK6)*$C$6)</f>
        <v>47773.0000000011</v>
      </c>
      <c r="BM9" s="73" t="n">
        <f aca="false">IF((BM6-BL6)&lt;=0,"",(BM6-BL6)*$C$6)</f>
        <v>44592.9999999993</v>
      </c>
      <c r="BN9" s="73" t="n">
        <f aca="false">IF((BN6-BM6)&lt;=0,"",(BN6-BM6)*$C$6)</f>
        <v>48183.9999999997</v>
      </c>
      <c r="BO9" s="73" t="n">
        <f aca="false">IF((BO6-BN6)&lt;=0,"",(BO6-BN6)*$C$6)</f>
        <v>40016.9999999998</v>
      </c>
      <c r="BP9" s="74" t="n">
        <f aca="false">IF((BP6-BO6)&lt;=0,"",(BP6-BO6)*$C$6)</f>
        <v>47572.0000000001</v>
      </c>
      <c r="BQ9" s="70" t="n">
        <f aca="false">SUM(BF9:BP9)</f>
        <v>509059.999999999</v>
      </c>
      <c r="BR9" s="72" t="n">
        <f aca="false">IF((BR6-BP6)&lt;=0,"",(BR6-BP6)*$C$6)</f>
        <v>46452.0000000004</v>
      </c>
      <c r="BS9" s="73" t="n">
        <f aca="false">IF((BS6-BR6)&lt;=0,"",(BS6-BR6)*$C$6)</f>
        <v>40582.0000000007</v>
      </c>
      <c r="BT9" s="73" t="n">
        <f aca="false">IF((BT6-BS6)&lt;=0,"",(BT6-BS6)*$C$6)</f>
        <v>42398.9999999991</v>
      </c>
      <c r="BU9" s="73" t="n">
        <f aca="false">IF((BU6-BT6)&lt;=0,"",(BU6-BT6)*$C$6)</f>
        <v>44475</v>
      </c>
      <c r="BV9" s="73" t="n">
        <f aca="false">IF((BV6-BU6)&lt;=0,"",(BV6-BU6)*$C$6)</f>
        <v>40443.0000000008</v>
      </c>
      <c r="BW9" s="75" t="str">
        <f aca="false">IF((BW6-BV6)&lt;=0,"",(BW6-BV6)*$C$6)</f>
        <v/>
      </c>
      <c r="BX9" s="73" t="str">
        <f aca="false">IF((BX6-BW6)&lt;=0,"",(BX6-BW6)*$C$6)</f>
        <v/>
      </c>
      <c r="BY9" s="73" t="str">
        <f aca="false">IF((BY6-BX6)&lt;=0,"",(BY6-BX6)*$C$6)</f>
        <v/>
      </c>
      <c r="BZ9" s="73" t="str">
        <f aca="false">IF((BZ6-BY6)&lt;=0,"",(BZ6-BY6)*$C$6)</f>
        <v/>
      </c>
      <c r="CA9" s="73" t="str">
        <f aca="false">IF((CA6-BZ6)&lt;=0,"",(CA6-BZ6)*$C$6)</f>
        <v/>
      </c>
      <c r="CB9" s="73" t="str">
        <f aca="false">IF((CB6-CA6)&lt;=0,"",(CB6-CA6)*$C$6)</f>
        <v/>
      </c>
      <c r="CC9" s="74" t="str">
        <f aca="false">IF((CC6-CB6)&lt;=0,"",(CC6-CB6)*$C$6)</f>
        <v/>
      </c>
      <c r="CD9" s="70" t="n">
        <f aca="false">SUM(BS9:CC9)</f>
        <v>167899.000000001</v>
      </c>
    </row>
    <row r="10" s="76" customFormat="true" ht="18.75" hidden="false" customHeight="false" outlineLevel="0" collapsed="false">
      <c r="A10" s="64"/>
      <c r="B10" s="77" t="s">
        <v>106</v>
      </c>
      <c r="C10" s="78"/>
      <c r="D10" s="79" t="str">
        <f aca="false">IF((D7-C7)&lt;=0,"",(D7-C7)*$C$7)</f>
        <v/>
      </c>
      <c r="E10" s="79" t="str">
        <f aca="false">IF((E7-D7)&lt;=0,"",(E7-D7)*$C$7)</f>
        <v/>
      </c>
      <c r="F10" s="79" t="str">
        <f aca="false">IF((F7-E7)&lt;=0,"",(F7-E7)*$C$7)</f>
        <v/>
      </c>
      <c r="G10" s="79" t="str">
        <f aca="false">IF((G7-F7)&lt;=0,"",(G7-F7)*$C$7)</f>
        <v/>
      </c>
      <c r="H10" s="79" t="str">
        <f aca="false">IF((H7-G7)&lt;=0,"",(H7-G7)*$C$7)</f>
        <v/>
      </c>
      <c r="I10" s="79" t="str">
        <f aca="false">IF((I7-H7)&lt;=0,"",(I7-H7)*$C$7)</f>
        <v/>
      </c>
      <c r="J10" s="79" t="str">
        <f aca="false">IF((J7-I7)&lt;=0,"",(J7-I7)*$C$7)</f>
        <v/>
      </c>
      <c r="K10" s="79" t="str">
        <f aca="false">IF((K7-J7)&lt;=0,"",(K7-J7)*$C$7)</f>
        <v/>
      </c>
      <c r="L10" s="79" t="str">
        <f aca="false">IF((L7-K7)&lt;=0,"",(L7-K7)*$C$7)</f>
        <v/>
      </c>
      <c r="M10" s="79"/>
      <c r="N10" s="79" t="str">
        <f aca="false">IF((N7-M7)&lt;=0,"",(N7-M7)*$C$7)</f>
        <v/>
      </c>
      <c r="O10" s="79" t="str">
        <f aca="false">IF((O7-N7)&lt;=0,"",(O7-N7)*$C$7)</f>
        <v/>
      </c>
      <c r="P10" s="79" t="n">
        <f aca="false">SUM(E10:O10)</f>
        <v>0</v>
      </c>
      <c r="Q10" s="79" t="str">
        <f aca="false">IF((Q7-O7)&lt;=0,"",(Q7-O7)*$C$7)</f>
        <v/>
      </c>
      <c r="R10" s="79" t="str">
        <f aca="false">IF((R7-Q7)&lt;=0,"",(R7-Q7)*$C$7)</f>
        <v/>
      </c>
      <c r="S10" s="79" t="str">
        <f aca="false">IF((S7-R7)&lt;=0,"",(S7-R7)*$C$7)</f>
        <v/>
      </c>
      <c r="T10" s="79" t="str">
        <f aca="false">IF((T7-S7)&lt;=0,"",(T7-S7)*$C$7)</f>
        <v/>
      </c>
      <c r="U10" s="79" t="str">
        <f aca="false">IF((U7-T7)&lt;=0,"",(U7-T7)*$C$7)</f>
        <v/>
      </c>
      <c r="V10" s="79" t="n">
        <f aca="false">IF((V7-U7)&lt;=0,"",(V7-U7)*$C$7)</f>
        <v>2704469</v>
      </c>
      <c r="W10" s="79" t="n">
        <f aca="false">IF((W7-V7)&lt;=0,"",(W7-V7)*$C$7)</f>
        <v>8025</v>
      </c>
      <c r="X10" s="79" t="n">
        <f aca="false">IF((X7-W7)&lt;=0,"",(X7-W7)*$C$7)</f>
        <v>7993.00000000003</v>
      </c>
      <c r="Y10" s="79" t="n">
        <f aca="false">IF((Y7-X7)&lt;=0,"",(Y7-X7)*$C$7)</f>
        <v>8713.0000000001</v>
      </c>
      <c r="Z10" s="79" t="n">
        <f aca="false">IF((Z7-Y7)&lt;=0,"",(Z7-Y7)*$C$7)</f>
        <v>5490.00000000015</v>
      </c>
      <c r="AA10" s="79" t="n">
        <f aca="false">IF((AA7-Z7)&lt;=0,"",(AA7-Z7)*$C$7)</f>
        <v>6768.00000000003</v>
      </c>
      <c r="AB10" s="79" t="n">
        <f aca="false">IF((AB7-AA7)&lt;=0,"",(AB7-AA7)*$C$7)</f>
        <v>5563.99999999994</v>
      </c>
      <c r="AC10" s="79" t="n">
        <f aca="false">IF((AC7-AB7)&lt;=0,"",(AC7-AB7)*$C$7)</f>
        <v>4638.99999999994</v>
      </c>
      <c r="AD10" s="79" t="n">
        <f aca="false">SUM(R10:AC10)</f>
        <v>2751661</v>
      </c>
      <c r="AE10" s="79" t="n">
        <f aca="false">IF((AE7-AC7)&lt;=0,"",(AE7-AC7)*$C$7)</f>
        <v>5838.99999999994</v>
      </c>
      <c r="AF10" s="79" t="n">
        <f aca="false">IF((AF7-AE7)&lt;=0,"",(AF7-AE7)*$C$7)</f>
        <v>4975.99999999984</v>
      </c>
      <c r="AG10" s="79" t="n">
        <f aca="false">IF((AG7-AF7)&lt;=0,"",(AG7-AF7)*$C$7)</f>
        <v>6365.00000000015</v>
      </c>
      <c r="AH10" s="79" t="n">
        <f aca="false">IF((AH7-AG7)&lt;=0,"",(AH7-AG7)*$C$7)</f>
        <v>5702.00000000004</v>
      </c>
      <c r="AI10" s="79" t="n">
        <f aca="false">IF((AI7-AH7)&lt;=0,"",(AI7-AH7)*$C$7)</f>
        <v>6957.99999999981</v>
      </c>
      <c r="AJ10" s="79" t="n">
        <f aca="false">IF((AJ7-AI7)&lt;=0,"",(AJ7-AI7)*$C$7)</f>
        <v>7865.00000000015</v>
      </c>
      <c r="AK10" s="79" t="n">
        <f aca="false">IF((AK7-AJ7)&lt;=0,"",(AK7-AJ7)*$C$7)</f>
        <v>8770.00000000007</v>
      </c>
      <c r="AL10" s="79" t="n">
        <f aca="false">IF((AL7-AK7)&lt;=0,"",(AL7-AK7)*$C$7)</f>
        <v>8859.00000000001</v>
      </c>
      <c r="AM10" s="79" t="n">
        <f aca="false">IF((AM7-AL7)&lt;=0,"",(AM7-AL7)*$C$7)</f>
        <v>9279.99999999993</v>
      </c>
      <c r="AN10" s="79" t="n">
        <f aca="false">IF((AN7-AM7)&lt;=0,"",(AN7-AM7)*$C$7)</f>
        <v>5663.99999999994</v>
      </c>
      <c r="AO10" s="79" t="n">
        <f aca="false">IF((AO7-AN7)&lt;=0,"",(AO7-AN7)*$C$7)</f>
        <v>7501.0000000002</v>
      </c>
      <c r="AP10" s="79" t="n">
        <f aca="false">IF((AP7-AO7)&lt;=0,"",(AP7-AO7)*$C$7)</f>
        <v>6036.9999999999</v>
      </c>
      <c r="AQ10" s="80" t="n">
        <f aca="false">SUM(AF10:AP10)</f>
        <v>77977</v>
      </c>
      <c r="AR10" s="79" t="n">
        <f aca="false">IF((AR7-AP7)&lt;=0,"",(AR7-AP7)*$C$6)</f>
        <v>6429.00000000009</v>
      </c>
      <c r="AS10" s="81" t="n">
        <f aca="false">IF((AS7-AR7)&lt;=0,"",(AS7-AR7)*$C$7)</f>
        <v>6500</v>
      </c>
      <c r="AT10" s="79" t="n">
        <f aca="false">IF((AT7-AS7)&lt;=0,"",(AT7-AS7)*$C$7)</f>
        <v>6712.99999999974</v>
      </c>
      <c r="AU10" s="79" t="n">
        <f aca="false">IF((AU7-AT7)&lt;=0,"",(AU7-AT7)*$C$7)</f>
        <v>7115.00000000015</v>
      </c>
      <c r="AV10" s="79" t="n">
        <f aca="false">IF((AV7-AU7)&lt;=0,"",(AV7-AU7)*$C$7)</f>
        <v>8179.00000000009</v>
      </c>
      <c r="AW10" s="67" t="n">
        <f aca="false">IF((AW7-AV7)&lt;=0,"",(AW7-AV7)*$C$6)</f>
        <v>10970.0000000001</v>
      </c>
      <c r="AX10" s="79" t="n">
        <f aca="false">IF((AX7-AW7)&lt;=0,"",(AX7-AW7)*$C$7)</f>
        <v>11223.9999999998</v>
      </c>
      <c r="AY10" s="79" t="n">
        <f aca="false">IF((AY7-AX7)&lt;=0,"",(AY7-AX7)*$C$7)</f>
        <v>10527.9999999999</v>
      </c>
      <c r="AZ10" s="79" t="n">
        <f aca="false">IF((AZ7-AY7)&lt;=0,"",(AZ7-AY7)*$C$7)</f>
        <v>9450</v>
      </c>
      <c r="BA10" s="79" t="n">
        <f aca="false">IF((BA7-AZ7)&lt;=0,"",(BA7-AZ7)*$C$7)</f>
        <v>9014.00000000031</v>
      </c>
      <c r="BB10" s="79" t="n">
        <f aca="false">IF((BB7-BA7)&lt;=0,"",(BB7-BA7)*$C$7)</f>
        <v>6759.99999999985</v>
      </c>
      <c r="BC10" s="82" t="n">
        <f aca="false">IF((BC7-BB7)&lt;=0,"",(BC7-BB7)*$C$7)</f>
        <v>6763.99999999994</v>
      </c>
      <c r="BD10" s="82" t="n">
        <f aca="false">SUM(AS10:BC10)</f>
        <v>93216.9999999998</v>
      </c>
      <c r="BE10" s="83" t="n">
        <f aca="false">IF((BE7-BC7)&lt;=0,"",(BE7-BC7)*$C$7)</f>
        <v>7167.00000000019</v>
      </c>
      <c r="BF10" s="84" t="n">
        <f aca="false">IF((BF7-BE7)&lt;=0,"",(BF7-BE7)*$C$7)</f>
        <v>6400.99999999984</v>
      </c>
      <c r="BG10" s="84" t="n">
        <f aca="false">IF((BG7-BF7)&lt;=0,"",(BG7-BF7)*$C$7)</f>
        <v>6431.99999999997</v>
      </c>
      <c r="BH10" s="84" t="n">
        <f aca="false">IF((BH7-BG7)&lt;=0,"",(BH7-BG7)*$C$7)</f>
        <v>7560.00000000022</v>
      </c>
      <c r="BI10" s="84" t="n">
        <f aca="false">IF((BI7-BH7)&lt;=0,"",(BI7-BH7)*$C$7)</f>
        <v>9612.99999999974</v>
      </c>
      <c r="BJ10" s="73" t="n">
        <f aca="false">IF((BJ7-BI7)&lt;=0,"",(BJ7-BI7)*$C$6)</f>
        <v>10728.0000000002</v>
      </c>
      <c r="BK10" s="84" t="n">
        <f aca="false">IF((BK7-BJ7)&lt;=0,"",(BK7-BJ7)*$C$7)</f>
        <v>12534</v>
      </c>
      <c r="BL10" s="84" t="n">
        <f aca="false">IF((BL7-BK7)&lt;=0,"",(BL7-BK7)*$C$7)</f>
        <v>11141</v>
      </c>
      <c r="BM10" s="84" t="n">
        <f aca="false">IF((BM7-BL7)&lt;=0,"",(BM7-BL7)*$C$7)</f>
        <v>9742.99999999966</v>
      </c>
      <c r="BN10" s="84" t="n">
        <f aca="false">IF((BN7-BM7)&lt;=0,"",(BN7-BM7)*$C$7)</f>
        <v>8249.00000000016</v>
      </c>
      <c r="BO10" s="84" t="n">
        <f aca="false">IF((BO7-BN7)&lt;=0,"",(BO7-BN7)*$C$7)</f>
        <v>6772.00000000012</v>
      </c>
      <c r="BP10" s="85" t="n">
        <f aca="false">IF((BP7-BO7)&lt;=0,"",(BP7-BO7)*$C$7)</f>
        <v>6979.99999999993</v>
      </c>
      <c r="BQ10" s="81" t="n">
        <f aca="false">SUM(BF10:BP10)</f>
        <v>96152.9999999999</v>
      </c>
      <c r="BR10" s="83" t="n">
        <f aca="false">IF((BR7-BP7)&lt;=0,"",(BR7-BP7)*$C$7)</f>
        <v>6254.00000000009</v>
      </c>
      <c r="BS10" s="84" t="n">
        <f aca="false">IF((BS7-BR7)&lt;=0,"",(BS7-BR7)*$C$7)</f>
        <v>7241.99999999983</v>
      </c>
      <c r="BT10" s="84" t="n">
        <f aca="false">IF((BT7-BS7)&lt;=0,"",(BT7-BS7)*$C$7)</f>
        <v>9890.00000000015</v>
      </c>
      <c r="BU10" s="84" t="n">
        <f aca="false">IF((BU7-BT7)&lt;=0,"",(BU7-BT7)*$C$7)</f>
        <v>10448</v>
      </c>
      <c r="BV10" s="84" t="n">
        <f aca="false">IF((BV7-BU7)&lt;=0,"",(BV7-BU7)*$C$7)</f>
        <v>11323</v>
      </c>
      <c r="BW10" s="86" t="str">
        <f aca="false">IF((BW7-BV7)&lt;=0,"",(BW7-BV7)*$C$6)</f>
        <v/>
      </c>
      <c r="BX10" s="84" t="str">
        <f aca="false">IF((BX7-BW7)&lt;=0,"",(BX7-BW7)*$C$7)</f>
        <v/>
      </c>
      <c r="BY10" s="84" t="str">
        <f aca="false">IF((BY7-BX7)&lt;=0,"",(BY7-BX7)*$C$7)</f>
        <v/>
      </c>
      <c r="BZ10" s="84" t="str">
        <f aca="false">IF((BZ7-BY7)&lt;=0,"",(BZ7-BY7)*$C$7)</f>
        <v/>
      </c>
      <c r="CA10" s="84" t="str">
        <f aca="false">IF((CA7-BZ7)&lt;=0,"",(CA7-BZ7)*$C$7)</f>
        <v/>
      </c>
      <c r="CB10" s="84" t="str">
        <f aca="false">IF((CB7-CA7)&lt;=0,"",(CB7-CA7)*$C$7)</f>
        <v/>
      </c>
      <c r="CC10" s="85" t="str">
        <f aca="false">IF((CC7-CB7)&lt;=0,"",(CC7-CB7)*$C$7)</f>
        <v/>
      </c>
      <c r="CD10" s="81" t="n">
        <f aca="false">SUM(BS10:CC10)</f>
        <v>38902.9999999999</v>
      </c>
    </row>
    <row r="11" s="76" customFormat="true" ht="18.75" hidden="false" customHeight="false" outlineLevel="0" collapsed="false">
      <c r="A11" s="64"/>
      <c r="B11" s="87" t="s">
        <v>107</v>
      </c>
      <c r="C11" s="88"/>
      <c r="D11" s="89" t="str">
        <f aca="false">IF((D8-C8)&lt;=0,"",(D8-C8)*$C$8)</f>
        <v/>
      </c>
      <c r="E11" s="89" t="str">
        <f aca="false">IF((E8-D8)&lt;=0,"",(E8-D8)*$C$8)</f>
        <v/>
      </c>
      <c r="F11" s="89" t="str">
        <f aca="false">IF((F8-E8)&lt;=0,"",(F8-E8)*$C$8)</f>
        <v/>
      </c>
      <c r="G11" s="89" t="str">
        <f aca="false">IF((G8-F8)&lt;=0,"",(G8-F8)*$C$8)</f>
        <v/>
      </c>
      <c r="H11" s="89" t="str">
        <f aca="false">IF((H8-G8)&lt;=0,"",(H8-G8)*$C$8)</f>
        <v/>
      </c>
      <c r="I11" s="89" t="str">
        <f aca="false">IF((I8-H8)&lt;=0,"",(I8-H8)*$C$8)</f>
        <v/>
      </c>
      <c r="J11" s="89" t="str">
        <f aca="false">IF((J8-I8)&lt;=0,"",(J8-I8)*$C$8)</f>
        <v/>
      </c>
      <c r="K11" s="89" t="str">
        <f aca="false">IF((K8-J8)&lt;=0,"",(K8-J8)*$C$8)</f>
        <v/>
      </c>
      <c r="L11" s="89" t="str">
        <f aca="false">IF((L8-K8)&lt;=0,"",(L8-K8)*$C$8)</f>
        <v/>
      </c>
      <c r="M11" s="89"/>
      <c r="N11" s="89" t="str">
        <f aca="false">IF((N8-M8)&lt;=0,"",(N8-M8)*$C$8)</f>
        <v/>
      </c>
      <c r="O11" s="89" t="str">
        <f aca="false">IF((O8-N8)&lt;=0,"",(O8-N8)*$C$8)</f>
        <v/>
      </c>
      <c r="P11" s="89" t="n">
        <f aca="false">SUM(E11:O11)</f>
        <v>0</v>
      </c>
      <c r="Q11" s="89" t="str">
        <f aca="false">IF((Q8-O8)&lt;=0,"",(Q8-O8)*$C$8)</f>
        <v/>
      </c>
      <c r="R11" s="89" t="str">
        <f aca="false">IF((R8-Q8)&lt;=0,"",(R8-Q8)*$C$8)</f>
        <v/>
      </c>
      <c r="S11" s="89" t="n">
        <f aca="false">IF((S8-R8)&lt;=0,"",(S8-R8)*$C$8)</f>
        <v>6488</v>
      </c>
      <c r="T11" s="89" t="n">
        <f aca="false">IF((T8-S8)&lt;=0,"",(T8-S8)*$C$8)</f>
        <v>55</v>
      </c>
      <c r="U11" s="89" t="n">
        <f aca="false">IF((U8-T8)&lt;=0,"",(U8-T8)*$C$8)</f>
        <v>37</v>
      </c>
      <c r="V11" s="89" t="str">
        <f aca="false">IF((V8-U8)&lt;=0,"",(V8-U8)*$C$8)</f>
        <v/>
      </c>
      <c r="W11" s="89" t="n">
        <f aca="false">IF((W8-V8)&lt;=0,"",(W8-V8)*$C$8)</f>
        <v>106</v>
      </c>
      <c r="X11" s="89" t="n">
        <f aca="false">IF((X8-W8)&lt;=0,"",(X8-W8)*$C$8)</f>
        <v>72</v>
      </c>
      <c r="Y11" s="89" t="n">
        <f aca="false">IF((Y8-X8)&lt;=0,"",(Y8-X8)*$C$8)</f>
        <v>78</v>
      </c>
      <c r="Z11" s="89" t="n">
        <f aca="false">IF((Z8-Y8)&lt;=0,"",(Z8-Y8)*$C$8)</f>
        <v>63</v>
      </c>
      <c r="AA11" s="89" t="n">
        <f aca="false">IF((AA8-Z8)&lt;=0,"",(AA8-Z8)*$C$8)</f>
        <v>42</v>
      </c>
      <c r="AB11" s="89" t="n">
        <f aca="false">IF((AB8-AA8)&lt;=0,"",(AB8-AA8)*$C$8)</f>
        <v>60</v>
      </c>
      <c r="AC11" s="89" t="n">
        <f aca="false">IF((AC8-AB8)&lt;=0,"",(AC8-AB8)*$C$8)</f>
        <v>59</v>
      </c>
      <c r="AD11" s="89" t="n">
        <f aca="false">SUM(Q11:AB11)</f>
        <v>7001</v>
      </c>
      <c r="AE11" s="89" t="n">
        <f aca="false">IF((AE8-AC8)&lt;=0,"",(AE8-AC8)*$C$8)</f>
        <v>60</v>
      </c>
      <c r="AF11" s="89" t="n">
        <f aca="false">IF((AF8-AE8)&lt;=0,"",(AF8-AE8)*$C$8)</f>
        <v>60</v>
      </c>
      <c r="AG11" s="89" t="n">
        <f aca="false">IF((AG8-AF8)&lt;=0,"",(AG8-AF8)*$C$8)</f>
        <v>58</v>
      </c>
      <c r="AH11" s="89" t="n">
        <f aca="false">IF((AH8-AG8)&lt;=0,"",(AH8-AG8)*$C$8)</f>
        <v>64</v>
      </c>
      <c r="AI11" s="89" t="n">
        <f aca="false">IF((AI8-AH8)&lt;=0,"",(AI8-AH8)*$C$8)</f>
        <v>55</v>
      </c>
      <c r="AJ11" s="89" t="n">
        <f aca="false">IF((AJ8-AI8)&lt;=0,"",(AJ8-AI8)*$C$8)</f>
        <v>51</v>
      </c>
      <c r="AK11" s="89" t="n">
        <f aca="false">IF((AK8-AJ8)&lt;=0,"",(AK8-AJ8)*$C$8)</f>
        <v>50</v>
      </c>
      <c r="AL11" s="89" t="n">
        <f aca="false">IF((AL8-AK8)&lt;=0,"",(AL8-AK8)*$C$8)</f>
        <v>65</v>
      </c>
      <c r="AM11" s="89" t="n">
        <f aca="false">IF((AM8-AL8)&lt;=0,"",(AM8-AL8)*$C$8)</f>
        <v>47</v>
      </c>
      <c r="AN11" s="89" t="n">
        <f aca="false">IF((AN8-AM8)&lt;=0,"",(AN8-AM8)*$C$8)</f>
        <v>48</v>
      </c>
      <c r="AO11" s="89" t="n">
        <f aca="false">IF((AO8-AN8)&lt;=0,"",(AO8-AN8)*$C$8)</f>
        <v>101</v>
      </c>
      <c r="AP11" s="89" t="n">
        <f aca="false">IF((AP8-AO8)&lt;=0,"",(AP8-AO8)*$C$8)</f>
        <v>62</v>
      </c>
      <c r="AQ11" s="90" t="n">
        <f aca="false">SUM(AE11:AP11)</f>
        <v>721</v>
      </c>
      <c r="AR11" s="79" t="n">
        <f aca="false">IF((AR8-AP8)&lt;=0,"",(AR8-AP8)*$C$7)</f>
        <v>7400</v>
      </c>
      <c r="AS11" s="91" t="n">
        <f aca="false">IF((AS8-AR8)&lt;=0,"",(AS8-AR8)*$C$8)</f>
        <v>85</v>
      </c>
      <c r="AT11" s="89" t="n">
        <f aca="false">IF((AT8-AS8)&lt;=0,"",(AT8-AS8)*$C$8)</f>
        <v>68</v>
      </c>
      <c r="AU11" s="89" t="n">
        <f aca="false">IF((AU8-AT8)&lt;=0,"",(AU8-AT8)*$C$8)</f>
        <v>104</v>
      </c>
      <c r="AV11" s="89" t="n">
        <f aca="false">IF((AV8-AU8)&lt;=0,"",(AV8-AU8)*$C$8)</f>
        <v>67</v>
      </c>
      <c r="AW11" s="89" t="n">
        <f aca="false">IF((AW8-AV8)&lt;=0,"",(AW8-AV8)*$C$8)</f>
        <v>99</v>
      </c>
      <c r="AX11" s="89" t="n">
        <f aca="false">IF((AX8-AW8)&lt;=0,"",(AX8-AW8)*$C$8)</f>
        <v>135</v>
      </c>
      <c r="AY11" s="89" t="n">
        <f aca="false">IF((AY8-AX8)&lt;=0,"",(AY8-AX8)*$C$8)</f>
        <v>116</v>
      </c>
      <c r="AZ11" s="89" t="n">
        <f aca="false">IF((AZ8-AY8)&lt;=0,"",(AZ8-AY8)*$C$8)</f>
        <v>95</v>
      </c>
      <c r="BA11" s="89" t="n">
        <f aca="false">IF((BA8-AZ8)&lt;=0,"",(BA8-AZ8)*$C$8)</f>
        <v>79</v>
      </c>
      <c r="BB11" s="89" t="n">
        <f aca="false">IF((BB8-BA8)&lt;=0,"",(BB8-BA8)*$C$8)</f>
        <v>80</v>
      </c>
      <c r="BC11" s="92" t="n">
        <f aca="false">IF((BC8-BB8)&lt;=0,"",(BC8-BB8)*$C$8)</f>
        <v>59</v>
      </c>
      <c r="BD11" s="89" t="n">
        <f aca="false">SUM(AR11:BC11)</f>
        <v>8387</v>
      </c>
      <c r="BE11" s="93" t="n">
        <f aca="false">IF((BE8-BC8)&lt;=0,"",(BE8-BC8)*$C$8)</f>
        <v>73</v>
      </c>
      <c r="BF11" s="94" t="n">
        <f aca="false">IF((BF8-BE8)&lt;=0,"",(BF8-BE8)*$C$8)</f>
        <v>74</v>
      </c>
      <c r="BG11" s="93" t="n">
        <f aca="false">IF((BG8-BF8)&lt;=0,"",(BG8-BF8)*$C$8)</f>
        <v>85</v>
      </c>
      <c r="BH11" s="93" t="n">
        <f aca="false">IF((BH8-BG8)&lt;=0,"",(BH8-BG8)*$C$8)</f>
        <v>84</v>
      </c>
      <c r="BI11" s="93" t="n">
        <f aca="false">IF((BI8-BH8)&lt;=0,"",(BI8-BH8)*$C$8)</f>
        <v>81</v>
      </c>
      <c r="BJ11" s="93" t="n">
        <f aca="false">IF((BJ8-BI8)&lt;=0,"",(BJ8-BI8)*$C$8)</f>
        <v>73</v>
      </c>
      <c r="BK11" s="93" t="n">
        <f aca="false">IF((BK8-BJ8)&lt;=0,"",(BK8-BJ8)*$C$8)</f>
        <v>101</v>
      </c>
      <c r="BL11" s="93" t="n">
        <f aca="false">IF((BL8-BK8)&lt;=0,"",(BL8-BK8)*$C$8)</f>
        <v>64</v>
      </c>
      <c r="BM11" s="93" t="n">
        <f aca="false">IF((BM8-BL8)&lt;=0,"",(BM8-BL8)*$C$8)</f>
        <v>80</v>
      </c>
      <c r="BN11" s="93" t="n">
        <f aca="false">IF((BN8-BM8)&lt;=0,"",(BN8-BM8)*$C$8)</f>
        <v>68</v>
      </c>
      <c r="BO11" s="93" t="n">
        <f aca="false">IF((BO8-BN8)&lt;=0,"",(BO8-BN8)*$C$8)</f>
        <v>69</v>
      </c>
      <c r="BP11" s="95" t="n">
        <f aca="false">IF((BP8-BO8)&lt;=0,"",(BP8-BO8)*$C$8)</f>
        <v>71</v>
      </c>
      <c r="BQ11" s="89" t="n">
        <f aca="false">SUM(BE11:BP11)</f>
        <v>923</v>
      </c>
      <c r="BR11" s="93" t="n">
        <f aca="false">IF((BR8-BP8)&lt;=0,"",(BR8-BP8)*$C$8)</f>
        <v>74</v>
      </c>
      <c r="BS11" s="94" t="n">
        <f aca="false">IF((BS8-BR8)&lt;=0,"",(BS8-BR8)*$C$8)</f>
        <v>56</v>
      </c>
      <c r="BT11" s="93" t="n">
        <f aca="false">IF((BT8-BS8)&lt;=0,"",(BT8-BS8)*$C$8)</f>
        <v>70</v>
      </c>
      <c r="BU11" s="93" t="n">
        <f aca="false">IF((BU8-BT8)&lt;=0,"",(BU8-BT8)*$C$8)</f>
        <v>89</v>
      </c>
      <c r="BV11" s="93" t="n">
        <f aca="false">IF((BV8-BU8)&lt;=0,"",(BV8-BU8)*$C$8)</f>
        <v>65</v>
      </c>
      <c r="BW11" s="89" t="str">
        <f aca="false">IF((BW8-BV8)&lt;=0,"",(BW8-BV8)*$C$8)</f>
        <v/>
      </c>
      <c r="BX11" s="93" t="str">
        <f aca="false">IF((BX8-BW8)&lt;=0,"",(BX8-BW8)*$C$8)</f>
        <v/>
      </c>
      <c r="BY11" s="93" t="str">
        <f aca="false">IF((BY8-BX8)&lt;=0,"",(BY8-BX8)*$C$8)</f>
        <v/>
      </c>
      <c r="BZ11" s="93" t="str">
        <f aca="false">IF((BZ8-BY8)&lt;=0,"",(BZ8-BY8)*$C$8)</f>
        <v/>
      </c>
      <c r="CA11" s="93" t="str">
        <f aca="false">IF((CA8-BZ8)&lt;=0,"",(CA8-BZ8)*$C$8)</f>
        <v/>
      </c>
      <c r="CB11" s="93" t="str">
        <f aca="false">IF((CB8-CA8)&lt;=0,"",(CB8-CA8)*$C$8)</f>
        <v/>
      </c>
      <c r="CC11" s="95" t="str">
        <f aca="false">IF((CC8-CB8)&lt;=0,"",(CC8-CB8)*$C$8)</f>
        <v/>
      </c>
      <c r="CD11" s="89" t="n">
        <f aca="false">SUM(BR11:CC11)</f>
        <v>354</v>
      </c>
    </row>
    <row r="12" customFormat="false" ht="15" hidden="false" customHeight="false" outlineLevel="0" collapsed="false">
      <c r="AF12" s="0" t="n">
        <v>63</v>
      </c>
    </row>
    <row r="21" customFormat="false" ht="15" hidden="false" customHeight="false" outlineLevel="0" collapsed="false">
      <c r="C21" s="0" t="s">
        <v>108</v>
      </c>
    </row>
  </sheetData>
  <mergeCells count="10">
    <mergeCell ref="A3:A5"/>
    <mergeCell ref="B3:B5"/>
    <mergeCell ref="C3:C5"/>
    <mergeCell ref="D3:O3"/>
    <mergeCell ref="Q3:AB3"/>
    <mergeCell ref="AE3:AP3"/>
    <mergeCell ref="AR3:BC3"/>
    <mergeCell ref="BE3:BP3"/>
    <mergeCell ref="BR3:CC3"/>
    <mergeCell ref="A6:A7"/>
  </mergeCells>
  <printOptions headings="false" gridLines="false" gridLinesSet="true" horizontalCentered="false" verticalCentered="false"/>
  <pageMargins left="0.708333333333333" right="0.708333333333333" top="0.747916666666667" bottom="0.747916666666667" header="0.511805555555555" footer="0.51180555555555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3:C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0" topLeftCell="BK1" activePane="topRight" state="frozen"/>
      <selection pane="topLeft" activeCell="A1" activeCellId="0" sqref="A1"/>
      <selection pane="topRight" activeCell="BU9" activeCellId="0" sqref="BU9"/>
    </sheetView>
  </sheetViews>
  <sheetFormatPr defaultColWidth="9.35546875" defaultRowHeight="15" zeroHeight="false" outlineLevelRow="0" outlineLevelCol="0"/>
  <cols>
    <col collapsed="false" customWidth="true" hidden="false" outlineLevel="0" max="1" min="1" style="0" width="26.85"/>
    <col collapsed="false" customWidth="true" hidden="false" outlineLevel="0" max="2" min="2" style="0" width="19"/>
    <col collapsed="false" customWidth="true" hidden="false" outlineLevel="0" max="3" min="3" style="0" width="10"/>
    <col collapsed="false" customWidth="true" hidden="false" outlineLevel="0" max="4" min="4" style="0" width="16.57"/>
    <col collapsed="false" customWidth="true" hidden="false" outlineLevel="0" max="5" min="5" style="0" width="17.71"/>
    <col collapsed="false" customWidth="true" hidden="false" outlineLevel="0" max="6" min="6" style="0" width="16.57"/>
    <col collapsed="false" customWidth="true" hidden="false" outlineLevel="0" max="7" min="7" style="0" width="17.86"/>
    <col collapsed="false" customWidth="true" hidden="false" outlineLevel="0" max="8" min="8" style="0" width="14.69"/>
    <col collapsed="false" customWidth="true" hidden="false" outlineLevel="0" max="9" min="9" style="0" width="14.01"/>
    <col collapsed="false" customWidth="true" hidden="false" outlineLevel="0" max="10" min="10" style="0" width="14.15"/>
    <col collapsed="false" customWidth="true" hidden="false" outlineLevel="0" max="11" min="11" style="0" width="16.41"/>
    <col collapsed="false" customWidth="true" hidden="false" outlineLevel="0" max="12" min="12" style="0" width="15.57"/>
    <col collapsed="false" customWidth="true" hidden="false" outlineLevel="0" max="13" min="13" style="0" width="14.43"/>
    <col collapsed="false" customWidth="true" hidden="false" outlineLevel="0" max="14" min="14" style="0" width="15.57"/>
    <col collapsed="false" customWidth="true" hidden="false" outlineLevel="0" max="15" min="15" style="0" width="16"/>
    <col collapsed="false" customWidth="true" hidden="false" outlineLevel="0" max="16" min="16" style="0" width="14.43"/>
    <col collapsed="false" customWidth="true" hidden="false" outlineLevel="0" max="28" min="17" style="0" width="13.43"/>
    <col collapsed="false" customWidth="true" hidden="false" outlineLevel="0" max="29" min="29" style="0" width="17.59"/>
    <col collapsed="false" customWidth="true" hidden="false" outlineLevel="0" max="30" min="30" style="0" width="14.86"/>
    <col collapsed="false" customWidth="true" hidden="false" outlineLevel="0" max="37" min="31" style="0" width="13.7"/>
    <col collapsed="false" customWidth="true" hidden="false" outlineLevel="0" max="38" min="38" style="0" width="14.69"/>
    <col collapsed="false" customWidth="true" hidden="false" outlineLevel="0" max="42" min="39" style="0" width="13.7"/>
    <col collapsed="false" customWidth="true" hidden="false" outlineLevel="0" max="43" min="43" style="0" width="16"/>
    <col collapsed="false" customWidth="true" hidden="false" outlineLevel="0" max="47" min="44" style="0" width="13.7"/>
    <col collapsed="false" customWidth="true" hidden="false" outlineLevel="0" max="48" min="48" style="0" width="16.14"/>
    <col collapsed="false" customWidth="true" hidden="false" outlineLevel="0" max="49" min="49" style="0" width="15"/>
    <col collapsed="false" customWidth="true" hidden="false" outlineLevel="0" max="56" min="50" style="0" width="13.7"/>
    <col collapsed="false" customWidth="true" hidden="false" outlineLevel="0" max="68" min="57" style="0" width="13.29"/>
    <col collapsed="false" customWidth="true" hidden="false" outlineLevel="0" max="69" min="69" style="0" width="14.69"/>
    <col collapsed="false" customWidth="true" hidden="false" outlineLevel="0" max="82" min="70" style="0" width="15.42"/>
  </cols>
  <sheetData>
    <row r="3" customFormat="false" ht="18.75" hidden="false" customHeight="true" outlineLevel="0" collapsed="false">
      <c r="A3" s="1" t="s">
        <v>0</v>
      </c>
      <c r="B3" s="2" t="s">
        <v>1</v>
      </c>
      <c r="C3" s="2" t="s">
        <v>2</v>
      </c>
      <c r="D3" s="3" t="s">
        <v>109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Q3" s="3" t="s">
        <v>4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4"/>
      <c r="AE3" s="3" t="s">
        <v>5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R3" s="3" t="s">
        <v>6</v>
      </c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E3" s="5" t="s">
        <v>7</v>
      </c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R3" s="5" t="s">
        <v>8</v>
      </c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</row>
    <row r="4" customFormat="false" ht="72" hidden="false" customHeight="false" outlineLevel="0" collapsed="false">
      <c r="A4" s="1"/>
      <c r="B4" s="2"/>
      <c r="C4" s="2"/>
      <c r="D4" s="6" t="s">
        <v>9</v>
      </c>
      <c r="E4" s="7" t="s">
        <v>10</v>
      </c>
      <c r="F4" s="7" t="s">
        <v>11</v>
      </c>
      <c r="G4" s="6" t="s">
        <v>12</v>
      </c>
      <c r="H4" s="6" t="s">
        <v>13</v>
      </c>
      <c r="I4" s="8" t="s">
        <v>14</v>
      </c>
      <c r="J4" s="6" t="s">
        <v>15</v>
      </c>
      <c r="K4" s="8" t="s">
        <v>16</v>
      </c>
      <c r="L4" s="6" t="s">
        <v>17</v>
      </c>
      <c r="M4" s="8" t="s">
        <v>18</v>
      </c>
      <c r="N4" s="6" t="s">
        <v>19</v>
      </c>
      <c r="O4" s="9" t="s">
        <v>20</v>
      </c>
      <c r="Q4" s="10" t="s">
        <v>20</v>
      </c>
      <c r="R4" s="11" t="s">
        <v>9</v>
      </c>
      <c r="S4" s="11" t="s">
        <v>10</v>
      </c>
      <c r="T4" s="11" t="s">
        <v>11</v>
      </c>
      <c r="U4" s="11" t="s">
        <v>12</v>
      </c>
      <c r="V4" s="11" t="s">
        <v>13</v>
      </c>
      <c r="W4" s="11" t="s">
        <v>14</v>
      </c>
      <c r="X4" s="11" t="s">
        <v>15</v>
      </c>
      <c r="Y4" s="11" t="s">
        <v>16</v>
      </c>
      <c r="Z4" s="11" t="s">
        <v>17</v>
      </c>
      <c r="AA4" s="11" t="s">
        <v>18</v>
      </c>
      <c r="AB4" s="11" t="s">
        <v>19</v>
      </c>
      <c r="AC4" s="12" t="s">
        <v>20</v>
      </c>
      <c r="AE4" s="6" t="s">
        <v>9</v>
      </c>
      <c r="AF4" s="7" t="s">
        <v>10</v>
      </c>
      <c r="AG4" s="7" t="s">
        <v>11</v>
      </c>
      <c r="AH4" s="6" t="s">
        <v>12</v>
      </c>
      <c r="AI4" s="6" t="s">
        <v>13</v>
      </c>
      <c r="AJ4" s="8" t="s">
        <v>14</v>
      </c>
      <c r="AK4" s="6" t="s">
        <v>15</v>
      </c>
      <c r="AL4" s="8" t="s">
        <v>16</v>
      </c>
      <c r="AM4" s="6" t="s">
        <v>17</v>
      </c>
      <c r="AN4" s="8" t="s">
        <v>18</v>
      </c>
      <c r="AO4" s="6" t="s">
        <v>19</v>
      </c>
      <c r="AP4" s="9" t="s">
        <v>20</v>
      </c>
      <c r="AR4" s="6" t="s">
        <v>9</v>
      </c>
      <c r="AS4" s="7" t="s">
        <v>10</v>
      </c>
      <c r="AT4" s="7" t="s">
        <v>11</v>
      </c>
      <c r="AU4" s="6" t="s">
        <v>12</v>
      </c>
      <c r="AV4" s="6" t="s">
        <v>13</v>
      </c>
      <c r="AW4" s="8" t="s">
        <v>14</v>
      </c>
      <c r="AX4" s="6" t="s">
        <v>15</v>
      </c>
      <c r="AY4" s="8" t="s">
        <v>16</v>
      </c>
      <c r="AZ4" s="6" t="s">
        <v>17</v>
      </c>
      <c r="BA4" s="8" t="s">
        <v>18</v>
      </c>
      <c r="BB4" s="6" t="s">
        <v>19</v>
      </c>
      <c r="BC4" s="9" t="s">
        <v>20</v>
      </c>
      <c r="BE4" s="6" t="s">
        <v>9</v>
      </c>
      <c r="BF4" s="7" t="s">
        <v>10</v>
      </c>
      <c r="BG4" s="7" t="s">
        <v>11</v>
      </c>
      <c r="BH4" s="6" t="s">
        <v>12</v>
      </c>
      <c r="BI4" s="6" t="s">
        <v>13</v>
      </c>
      <c r="BJ4" s="8" t="s">
        <v>14</v>
      </c>
      <c r="BK4" s="6" t="s">
        <v>15</v>
      </c>
      <c r="BL4" s="8" t="s">
        <v>16</v>
      </c>
      <c r="BM4" s="6" t="s">
        <v>17</v>
      </c>
      <c r="BN4" s="8" t="s">
        <v>18</v>
      </c>
      <c r="BO4" s="6" t="s">
        <v>19</v>
      </c>
      <c r="BP4" s="9" t="s">
        <v>20</v>
      </c>
      <c r="BR4" s="6" t="s">
        <v>9</v>
      </c>
      <c r="BS4" s="7" t="s">
        <v>10</v>
      </c>
      <c r="BT4" s="7" t="s">
        <v>11</v>
      </c>
      <c r="BU4" s="6" t="s">
        <v>12</v>
      </c>
      <c r="BV4" s="6" t="s">
        <v>13</v>
      </c>
      <c r="BW4" s="8" t="s">
        <v>14</v>
      </c>
      <c r="BX4" s="6" t="s">
        <v>15</v>
      </c>
      <c r="BY4" s="8" t="s">
        <v>16</v>
      </c>
      <c r="BZ4" s="6" t="s">
        <v>17</v>
      </c>
      <c r="CA4" s="8" t="s">
        <v>18</v>
      </c>
      <c r="CB4" s="6" t="s">
        <v>19</v>
      </c>
      <c r="CC4" s="9" t="s">
        <v>20</v>
      </c>
    </row>
    <row r="5" customFormat="false" ht="49.5" hidden="false" customHeight="true" outlineLevel="0" collapsed="false">
      <c r="A5" s="1"/>
      <c r="B5" s="1"/>
      <c r="C5" s="2"/>
      <c r="D5" s="13" t="s">
        <v>21</v>
      </c>
      <c r="E5" s="13" t="s">
        <v>22</v>
      </c>
      <c r="F5" s="13" t="s">
        <v>23</v>
      </c>
      <c r="G5" s="13" t="s">
        <v>24</v>
      </c>
      <c r="H5" s="13" t="s">
        <v>25</v>
      </c>
      <c r="I5" s="14" t="s">
        <v>26</v>
      </c>
      <c r="J5" s="13" t="s">
        <v>27</v>
      </c>
      <c r="K5" s="14" t="s">
        <v>28</v>
      </c>
      <c r="L5" s="13" t="s">
        <v>29</v>
      </c>
      <c r="M5" s="14" t="s">
        <v>30</v>
      </c>
      <c r="N5" s="13" t="s">
        <v>31</v>
      </c>
      <c r="O5" s="15" t="s">
        <v>32</v>
      </c>
      <c r="Q5" s="16" t="s">
        <v>33</v>
      </c>
      <c r="R5" s="17" t="s">
        <v>34</v>
      </c>
      <c r="S5" s="17" t="s">
        <v>35</v>
      </c>
      <c r="T5" s="17" t="s">
        <v>36</v>
      </c>
      <c r="U5" s="17" t="s">
        <v>37</v>
      </c>
      <c r="V5" s="17" t="s">
        <v>38</v>
      </c>
      <c r="W5" s="17" t="s">
        <v>39</v>
      </c>
      <c r="X5" s="17" t="s">
        <v>110</v>
      </c>
      <c r="Y5" s="17" t="s">
        <v>41</v>
      </c>
      <c r="Z5" s="17" t="s">
        <v>42</v>
      </c>
      <c r="AA5" s="17" t="s">
        <v>43</v>
      </c>
      <c r="AB5" s="17" t="s">
        <v>44</v>
      </c>
      <c r="AC5" s="18" t="s">
        <v>45</v>
      </c>
      <c r="AE5" s="13" t="s">
        <v>46</v>
      </c>
      <c r="AF5" s="13" t="s">
        <v>47</v>
      </c>
      <c r="AG5" s="13" t="s">
        <v>48</v>
      </c>
      <c r="AH5" s="13" t="s">
        <v>49</v>
      </c>
      <c r="AI5" s="13" t="s">
        <v>50</v>
      </c>
      <c r="AJ5" s="13" t="s">
        <v>51</v>
      </c>
      <c r="AK5" s="13" t="s">
        <v>52</v>
      </c>
      <c r="AL5" s="13" t="s">
        <v>53</v>
      </c>
      <c r="AM5" s="13" t="s">
        <v>54</v>
      </c>
      <c r="AN5" s="13" t="s">
        <v>55</v>
      </c>
      <c r="AO5" s="13" t="s">
        <v>56</v>
      </c>
      <c r="AP5" s="13" t="s">
        <v>57</v>
      </c>
      <c r="AR5" s="13" t="s">
        <v>58</v>
      </c>
      <c r="AS5" s="13" t="s">
        <v>111</v>
      </c>
      <c r="AT5" s="13" t="s">
        <v>60</v>
      </c>
      <c r="AU5" s="13" t="s">
        <v>112</v>
      </c>
      <c r="AV5" s="13" t="s">
        <v>62</v>
      </c>
      <c r="AW5" s="13" t="s">
        <v>113</v>
      </c>
      <c r="AX5" s="13" t="s">
        <v>64</v>
      </c>
      <c r="AY5" s="13" t="s">
        <v>65</v>
      </c>
      <c r="AZ5" s="13" t="s">
        <v>114</v>
      </c>
      <c r="BA5" s="13" t="s">
        <v>67</v>
      </c>
      <c r="BB5" s="13" t="s">
        <v>115</v>
      </c>
      <c r="BC5" s="13" t="s">
        <v>69</v>
      </c>
      <c r="BE5" s="13" t="s">
        <v>70</v>
      </c>
      <c r="BF5" s="13" t="s">
        <v>71</v>
      </c>
      <c r="BG5" s="13" t="s">
        <v>72</v>
      </c>
      <c r="BH5" s="13" t="s">
        <v>73</v>
      </c>
      <c r="BI5" s="13" t="s">
        <v>74</v>
      </c>
      <c r="BJ5" s="13" t="s">
        <v>75</v>
      </c>
      <c r="BK5" s="13" t="s">
        <v>76</v>
      </c>
      <c r="BL5" s="13" t="s">
        <v>77</v>
      </c>
      <c r="BM5" s="13" t="s">
        <v>78</v>
      </c>
      <c r="BN5" s="13" t="s">
        <v>79</v>
      </c>
      <c r="BO5" s="13" t="s">
        <v>80</v>
      </c>
      <c r="BP5" s="13" t="s">
        <v>81</v>
      </c>
      <c r="BR5" s="13" t="s">
        <v>82</v>
      </c>
      <c r="BS5" s="13" t="s">
        <v>83</v>
      </c>
      <c r="BT5" s="13" t="s">
        <v>84</v>
      </c>
      <c r="BU5" s="13" t="s">
        <v>85</v>
      </c>
      <c r="BV5" s="13" t="s">
        <v>86</v>
      </c>
      <c r="BW5" s="13" t="s">
        <v>87</v>
      </c>
      <c r="BX5" s="13" t="s">
        <v>88</v>
      </c>
      <c r="BY5" s="13" t="s">
        <v>89</v>
      </c>
      <c r="BZ5" s="13" t="s">
        <v>90</v>
      </c>
      <c r="CA5" s="13" t="s">
        <v>91</v>
      </c>
      <c r="CB5" s="13" t="s">
        <v>92</v>
      </c>
      <c r="CC5" s="13" t="s">
        <v>93</v>
      </c>
    </row>
    <row r="6" customFormat="false" ht="39.75" hidden="false" customHeight="true" outlineLevel="0" collapsed="false">
      <c r="A6" s="19" t="s">
        <v>116</v>
      </c>
      <c r="B6" s="20" t="s">
        <v>117</v>
      </c>
      <c r="C6" s="21" t="n">
        <v>100</v>
      </c>
      <c r="D6" s="22"/>
      <c r="E6" s="23"/>
      <c r="F6" s="23"/>
      <c r="G6" s="23"/>
      <c r="H6" s="23"/>
      <c r="I6" s="22"/>
      <c r="J6" s="23"/>
      <c r="K6" s="22"/>
      <c r="L6" s="23"/>
      <c r="M6" s="24"/>
      <c r="N6" s="25"/>
      <c r="O6" s="26"/>
      <c r="Q6" s="27"/>
      <c r="R6" s="25"/>
      <c r="S6" s="25"/>
      <c r="T6" s="25"/>
      <c r="U6" s="25"/>
      <c r="V6" s="25"/>
      <c r="W6" s="25"/>
      <c r="X6" s="25" t="n">
        <v>20601</v>
      </c>
      <c r="Y6" s="25" t="n">
        <v>20601</v>
      </c>
      <c r="Z6" s="25" t="n">
        <v>20601</v>
      </c>
      <c r="AA6" s="25" t="n">
        <v>20601</v>
      </c>
      <c r="AB6" s="25" t="n">
        <v>20601</v>
      </c>
      <c r="AC6" s="28" t="n">
        <v>122436</v>
      </c>
      <c r="AE6" s="27" t="n">
        <v>124105</v>
      </c>
      <c r="AF6" s="25" t="n">
        <v>125973</v>
      </c>
      <c r="AG6" s="25" t="n">
        <v>127449</v>
      </c>
      <c r="AH6" s="25" t="n">
        <v>128564</v>
      </c>
      <c r="AI6" s="25" t="n">
        <v>129506</v>
      </c>
      <c r="AJ6" s="25" t="n">
        <v>130108</v>
      </c>
      <c r="AK6" s="25" t="n">
        <v>130716</v>
      </c>
      <c r="AL6" s="25" t="n">
        <v>131298</v>
      </c>
      <c r="AM6" s="25" t="n">
        <v>132034</v>
      </c>
      <c r="AN6" s="25" t="n">
        <v>132892</v>
      </c>
      <c r="AO6" s="25" t="n">
        <v>134286</v>
      </c>
      <c r="AP6" s="25" t="n">
        <v>135983</v>
      </c>
      <c r="AR6" s="27" t="n">
        <v>137978</v>
      </c>
      <c r="AS6" s="25" t="n">
        <v>139385</v>
      </c>
      <c r="AT6" s="25" t="n">
        <v>140938</v>
      </c>
      <c r="AU6" s="25" t="n">
        <v>142092</v>
      </c>
      <c r="AV6" s="25" t="n">
        <v>143052</v>
      </c>
      <c r="AW6" s="25" t="n">
        <v>143927</v>
      </c>
      <c r="AX6" s="25" t="n">
        <v>144917</v>
      </c>
      <c r="AY6" s="25" t="n">
        <v>145841</v>
      </c>
      <c r="AZ6" s="25" t="n">
        <v>146687</v>
      </c>
      <c r="BA6" s="25" t="n">
        <v>147938</v>
      </c>
      <c r="BB6" s="25" t="n">
        <v>149289</v>
      </c>
      <c r="BC6" s="25" t="n">
        <v>151105</v>
      </c>
      <c r="BE6" s="27" t="n">
        <v>153416</v>
      </c>
      <c r="BF6" s="25" t="n">
        <v>154894</v>
      </c>
      <c r="BG6" s="25" t="n">
        <v>155966</v>
      </c>
      <c r="BH6" s="25" t="n">
        <v>157082</v>
      </c>
      <c r="BI6" s="25" t="n">
        <v>158047</v>
      </c>
      <c r="BJ6" s="25" t="n">
        <v>158695</v>
      </c>
      <c r="BK6" s="25" t="n">
        <v>159785.6</v>
      </c>
      <c r="BL6" s="25" t="n">
        <v>160610.5</v>
      </c>
      <c r="BM6" s="25" t="n">
        <v>161338</v>
      </c>
      <c r="BN6" s="25" t="n">
        <v>162542</v>
      </c>
      <c r="BO6" s="25" t="n">
        <v>163725</v>
      </c>
      <c r="BP6" s="25" t="n">
        <v>165551</v>
      </c>
      <c r="BR6" s="27" t="n">
        <v>168328</v>
      </c>
      <c r="BS6" s="25" t="n">
        <v>170020</v>
      </c>
      <c r="BT6" s="25" t="n">
        <v>171458</v>
      </c>
      <c r="BU6" s="25" t="n">
        <v>172854</v>
      </c>
      <c r="BV6" s="25" t="n">
        <v>173568</v>
      </c>
      <c r="BW6" s="25"/>
      <c r="BX6" s="25"/>
      <c r="BY6" s="25"/>
      <c r="BZ6" s="25"/>
      <c r="CA6" s="25"/>
      <c r="CB6" s="25"/>
      <c r="CC6" s="25"/>
    </row>
    <row r="7" customFormat="false" ht="36" hidden="false" customHeight="true" outlineLevel="0" collapsed="false">
      <c r="A7" s="43" t="s">
        <v>97</v>
      </c>
      <c r="B7" s="44" t="s">
        <v>98</v>
      </c>
      <c r="C7" s="45" t="n">
        <v>1</v>
      </c>
      <c r="D7" s="46"/>
      <c r="E7" s="47"/>
      <c r="F7" s="47"/>
      <c r="G7" s="47"/>
      <c r="H7" s="47"/>
      <c r="I7" s="48"/>
      <c r="J7" s="47"/>
      <c r="K7" s="48"/>
      <c r="L7" s="47"/>
      <c r="M7" s="49"/>
      <c r="N7" s="50"/>
      <c r="O7" s="51"/>
      <c r="P7" s="52" t="s">
        <v>99</v>
      </c>
      <c r="Q7" s="53"/>
      <c r="R7" s="54"/>
      <c r="S7" s="54"/>
      <c r="T7" s="54"/>
      <c r="U7" s="54"/>
      <c r="V7" s="54"/>
      <c r="W7" s="54"/>
      <c r="X7" s="54"/>
      <c r="Y7" s="54"/>
      <c r="Z7" s="55"/>
      <c r="AA7" s="54"/>
      <c r="AB7" s="54"/>
      <c r="AC7" s="56" t="n">
        <v>4</v>
      </c>
      <c r="AD7" s="57" t="s">
        <v>100</v>
      </c>
      <c r="AE7" s="53" t="n">
        <v>6</v>
      </c>
      <c r="AF7" s="54" t="n">
        <v>7</v>
      </c>
      <c r="AG7" s="54" t="n">
        <v>9</v>
      </c>
      <c r="AH7" s="54" t="n">
        <v>10</v>
      </c>
      <c r="AI7" s="54" t="n">
        <v>12</v>
      </c>
      <c r="AJ7" s="54" t="n">
        <v>14</v>
      </c>
      <c r="AK7" s="54" t="n">
        <v>16</v>
      </c>
      <c r="AL7" s="54" t="n">
        <v>17</v>
      </c>
      <c r="AM7" s="54" t="n">
        <v>19</v>
      </c>
      <c r="AN7" s="55" t="n">
        <v>21</v>
      </c>
      <c r="AO7" s="54" t="n">
        <v>23</v>
      </c>
      <c r="AP7" s="54" t="n">
        <v>25</v>
      </c>
      <c r="AQ7" s="57" t="s">
        <v>101</v>
      </c>
      <c r="AR7" s="53" t="n">
        <v>27</v>
      </c>
      <c r="AS7" s="54" t="n">
        <v>29</v>
      </c>
      <c r="AT7" s="54" t="n">
        <v>31</v>
      </c>
      <c r="AU7" s="54" t="n">
        <v>33</v>
      </c>
      <c r="AV7" s="54" t="n">
        <v>35</v>
      </c>
      <c r="AW7" s="54" t="n">
        <v>37</v>
      </c>
      <c r="AX7" s="54" t="n">
        <v>39</v>
      </c>
      <c r="AY7" s="54" t="n">
        <v>41</v>
      </c>
      <c r="AZ7" s="54" t="n">
        <v>42</v>
      </c>
      <c r="BA7" s="55" t="n">
        <v>44</v>
      </c>
      <c r="BB7" s="54" t="n">
        <v>46</v>
      </c>
      <c r="BC7" s="54" t="n">
        <v>48</v>
      </c>
      <c r="BD7" s="57" t="s">
        <v>102</v>
      </c>
      <c r="BE7" s="53" t="n">
        <v>50</v>
      </c>
      <c r="BF7" s="54" t="n">
        <v>52</v>
      </c>
      <c r="BG7" s="54" t="n">
        <v>54</v>
      </c>
      <c r="BH7" s="54" t="n">
        <v>56</v>
      </c>
      <c r="BI7" s="54" t="n">
        <v>58</v>
      </c>
      <c r="BJ7" s="54" t="n">
        <v>60</v>
      </c>
      <c r="BK7" s="54" t="n">
        <v>62</v>
      </c>
      <c r="BL7" s="54" t="n">
        <v>64</v>
      </c>
      <c r="BM7" s="54" t="n">
        <v>66</v>
      </c>
      <c r="BN7" s="55" t="n">
        <v>68</v>
      </c>
      <c r="BO7" s="54" t="n">
        <v>70</v>
      </c>
      <c r="BP7" s="54" t="n">
        <v>71</v>
      </c>
      <c r="BQ7" s="57" t="s">
        <v>103</v>
      </c>
      <c r="BR7" s="53" t="n">
        <v>71</v>
      </c>
      <c r="BS7" s="54" t="n">
        <v>73</v>
      </c>
      <c r="BT7" s="54" t="n">
        <v>75</v>
      </c>
      <c r="BU7" s="54" t="n">
        <v>77</v>
      </c>
      <c r="BV7" s="54" t="n">
        <v>79</v>
      </c>
      <c r="BW7" s="54"/>
      <c r="BX7" s="54"/>
      <c r="BY7" s="54"/>
      <c r="BZ7" s="54"/>
      <c r="CA7" s="55"/>
      <c r="CB7" s="54"/>
      <c r="CC7" s="54"/>
      <c r="CD7" s="57" t="s">
        <v>103</v>
      </c>
    </row>
    <row r="8" s="76" customFormat="true" ht="18.75" hidden="false" customHeight="false" outlineLevel="0" collapsed="false">
      <c r="A8" s="64" t="s">
        <v>104</v>
      </c>
      <c r="B8" s="65" t="s">
        <v>105</v>
      </c>
      <c r="C8" s="66"/>
      <c r="D8" s="67" t="str">
        <f aca="false">IF((D6-C6)&lt;=0,"",(D6-C6)*$C$6)</f>
        <v/>
      </c>
      <c r="E8" s="67" t="str">
        <f aca="false">IF((E6-D6)&lt;=0,"",(E6-D6)*$C$6)</f>
        <v/>
      </c>
      <c r="F8" s="67" t="str">
        <f aca="false">IF((F6-E6)&lt;=0,"",(F6-E6)*$C$6)</f>
        <v/>
      </c>
      <c r="G8" s="67" t="str">
        <f aca="false">IF((G6-F6)&lt;=0,"",(G6-F6)*$C$6)</f>
        <v/>
      </c>
      <c r="H8" s="67" t="str">
        <f aca="false">IF((H6-G6)&lt;=0,"",(H6-G6)*$C$6)</f>
        <v/>
      </c>
      <c r="I8" s="67" t="str">
        <f aca="false">IF((I6-H6)&lt;=0,"",(I6-H6)*$C$6)</f>
        <v/>
      </c>
      <c r="J8" s="67" t="str">
        <f aca="false">IF((J6-I6)&lt;=0,"",(J6-I6)*$C$6)</f>
        <v/>
      </c>
      <c r="K8" s="67" t="str">
        <f aca="false">IF((K6-J6)&lt;=0,"",(K6-J6)*$C$6)</f>
        <v/>
      </c>
      <c r="L8" s="67" t="str">
        <f aca="false">IF((L6-K6)&lt;=0,"",(L6-K6)*$C$6)</f>
        <v/>
      </c>
      <c r="M8" s="67"/>
      <c r="N8" s="67" t="str">
        <f aca="false">IF((N6-M6)&lt;=0,"",(N6-M6)*$C$6)</f>
        <v/>
      </c>
      <c r="O8" s="67" t="str">
        <f aca="false">IF((O6-N6)&lt;=0,"",(O6-N6)*$C$6)</f>
        <v/>
      </c>
      <c r="P8" s="67" t="n">
        <f aca="false">SUM(E8:O8)</f>
        <v>0</v>
      </c>
      <c r="Q8" s="68" t="str">
        <f aca="false">IF((Q6-O6)&lt;=0,"",(Q6-O6)*$C$6)</f>
        <v/>
      </c>
      <c r="R8" s="68" t="str">
        <f aca="false">IF((R6-Q6)&lt;=0,"",(R6-Q6)*$C$6)</f>
        <v/>
      </c>
      <c r="S8" s="68" t="str">
        <f aca="false">IF((S6-R6)&lt;=0,"",(S6-R6)*$C$6)</f>
        <v/>
      </c>
      <c r="T8" s="68" t="str">
        <f aca="false">IF((T6-S6)&lt;=0,"",(T6-S6)*$C$6)</f>
        <v/>
      </c>
      <c r="U8" s="68" t="str">
        <f aca="false">IF((U6-T6)&lt;=0,"",(U6-T6)*$C$6)</f>
        <v/>
      </c>
      <c r="V8" s="68" t="str">
        <f aca="false">IF((V6-U6)&lt;=0,"",(V6-U6)*$C$6)</f>
        <v/>
      </c>
      <c r="W8" s="68" t="str">
        <f aca="false">IF((W6-V6)&lt;=0,"",(W6-V6)*$C$6)</f>
        <v/>
      </c>
      <c r="X8" s="68" t="n">
        <f aca="false">IF((X6-W6)&lt;=0,"",(X6-W6)*$C$6)</f>
        <v>2060100</v>
      </c>
      <c r="Y8" s="68" t="str">
        <f aca="false">IF((Y6-X6)&lt;=0,"",(Y6-X6)*$C$6)</f>
        <v/>
      </c>
      <c r="Z8" s="68" t="str">
        <f aca="false">IF((Z6-Y6)&lt;=0,"",(Z6-Y6)*$C$6)</f>
        <v/>
      </c>
      <c r="AA8" s="68" t="str">
        <f aca="false">IF((AA6-Z6)&lt;=0,"",(AA6-Z6)*$C$6)</f>
        <v/>
      </c>
      <c r="AB8" s="68" t="str">
        <f aca="false">IF((AB6-AA6)&lt;=0,"",(AB6-AA6)*$C$6)</f>
        <v/>
      </c>
      <c r="AC8" s="68" t="n">
        <f aca="false">IF((AC6-AB6)&lt;=0,"",(AC6-AB6)*$C$6)</f>
        <v>10183500</v>
      </c>
      <c r="AD8" s="67" t="n">
        <f aca="false">SUM(Q8:AC8)</f>
        <v>12243600</v>
      </c>
      <c r="AE8" s="68" t="n">
        <f aca="false">IF((AE6-AC6)&lt;=0,"",(AE6-AC6)*$C$6)</f>
        <v>166900</v>
      </c>
      <c r="AF8" s="68" t="n">
        <f aca="false">IF((AF6-AE6)&lt;=0,"",(AF6-AE6)*$C$6)</f>
        <v>186800</v>
      </c>
      <c r="AG8" s="68" t="n">
        <f aca="false">IF((AG6-AF6)&lt;=0,"",(AG6-AF6)*$C$6)</f>
        <v>147600</v>
      </c>
      <c r="AH8" s="68" t="n">
        <f aca="false">IF((AH6-AG6)&lt;=0,"",(AH6-AG6)*$C$6)</f>
        <v>111500</v>
      </c>
      <c r="AI8" s="68" t="n">
        <f aca="false">IF((AI6-AH6)&lt;=0,"",(AI6-AH6)*$C$6)</f>
        <v>94200</v>
      </c>
      <c r="AJ8" s="68" t="n">
        <f aca="false">IF((AJ6-AI6)&lt;=0,"",(AJ6-AI6)*$C$6)</f>
        <v>60200</v>
      </c>
      <c r="AK8" s="68" t="n">
        <f aca="false">IF((AK6-AJ6)&lt;=0,"",(AK6-AJ6)*$C$6)</f>
        <v>60800</v>
      </c>
      <c r="AL8" s="68" t="n">
        <f aca="false">IF((AL6-AK6)&lt;=0,"",(AL6-AK6)*$C$6)</f>
        <v>58200</v>
      </c>
      <c r="AM8" s="68" t="n">
        <f aca="false">IF((AM6-AL6)&lt;=0,"",(AM6-AL6)*$C$6)</f>
        <v>73600</v>
      </c>
      <c r="AN8" s="68" t="n">
        <f aca="false">IF((AN6-AM6)&lt;=0,"",(AN6-AM6)*$C$6)</f>
        <v>85800</v>
      </c>
      <c r="AO8" s="68" t="n">
        <f aca="false">IF((AO6-AN6)&lt;=0,"",(AO6-AN6)*$C$6)</f>
        <v>139400</v>
      </c>
      <c r="AP8" s="68" t="n">
        <f aca="false">IF((AP6-AO6)&lt;=0,"",(AP6-AO6)*$C$6)</f>
        <v>169700</v>
      </c>
      <c r="AQ8" s="67" t="n">
        <f aca="false">SUM(AE8:AP8)</f>
        <v>1354700</v>
      </c>
      <c r="AR8" s="68" t="n">
        <f aca="false">IF((AR6-AP6)&lt;=0,"",(AR6-AP6)*$C$6)</f>
        <v>199500</v>
      </c>
      <c r="AS8" s="68" t="n">
        <f aca="false">IF((AS6-AR6)&lt;=0,"",(AS6-AR6)*$C$6)</f>
        <v>140700</v>
      </c>
      <c r="AT8" s="68" t="n">
        <f aca="false">IF((AT6-AS6)&lt;=0,"",(AT6-AS6)*$C$6)</f>
        <v>155300</v>
      </c>
      <c r="AU8" s="68" t="n">
        <f aca="false">IF((AU6-AT6)&lt;=0,"",(AU6-AT6)*$C$6)</f>
        <v>115400</v>
      </c>
      <c r="AV8" s="68" t="n">
        <f aca="false">IF((AV6-AU6)&lt;=0,"",(AV6-AU6)*$C$6)</f>
        <v>96000</v>
      </c>
      <c r="AW8" s="68" t="n">
        <f aca="false">IF((AW6-AV6)&lt;=0,"",(AW6-AV6)*$C$6)</f>
        <v>87500</v>
      </c>
      <c r="AX8" s="68" t="n">
        <f aca="false">IF((AX6-AW6)&lt;=0,"",(AX6-AW6)*$C$6)</f>
        <v>99000</v>
      </c>
      <c r="AY8" s="68" t="n">
        <f aca="false">IF((AY6-AX6)&lt;=0,"",(AY6-AX6)*$C$6)</f>
        <v>92400</v>
      </c>
      <c r="AZ8" s="68" t="n">
        <f aca="false">IF((AZ6-AY6)&lt;=0,"",(AZ6-AY6)*$C$6)</f>
        <v>84600</v>
      </c>
      <c r="BA8" s="68" t="n">
        <f aca="false">IF((BA6-AZ6)&lt;=0,"",(BA6-AZ6)*$C$6)</f>
        <v>125100</v>
      </c>
      <c r="BB8" s="68" t="n">
        <f aca="false">IF((BB6-BA6)&lt;=0,"",(BB6-BA6)*$C$6)</f>
        <v>135100</v>
      </c>
      <c r="BC8" s="68" t="n">
        <f aca="false">IF((BC6-BB6)&lt;=0,"",(BC6-BB6)*$C$6)</f>
        <v>181600</v>
      </c>
      <c r="BD8" s="67" t="n">
        <f aca="false">SUM(AR8:BC8)</f>
        <v>1512200</v>
      </c>
      <c r="BE8" s="68" t="n">
        <f aca="false">IF((BE6-BC6)&lt;=0,"",(BE6-BC6)*$C$6)</f>
        <v>231100</v>
      </c>
      <c r="BF8" s="68" t="n">
        <f aca="false">IF((BF6-BE6)&lt;=0,"",(BF6-BE6)*$C$6)</f>
        <v>147800</v>
      </c>
      <c r="BG8" s="68" t="n">
        <f aca="false">IF((BG6-BF6)&lt;=0,"",(BG6-BF6)*$C$6)</f>
        <v>107200</v>
      </c>
      <c r="BH8" s="68" t="n">
        <f aca="false">IF((BH6-BG6)&lt;=0,"",(BH6-BG6)*$C$6)</f>
        <v>111600</v>
      </c>
      <c r="BI8" s="68" t="n">
        <f aca="false">IF((BI6-BH6)&lt;=0,"",(BI6-BH6)*$C$6)</f>
        <v>96500</v>
      </c>
      <c r="BJ8" s="68" t="n">
        <f aca="false">IF((BJ6-BI6)&lt;=0,"",(BJ6-BI6)*$C$6)</f>
        <v>64800</v>
      </c>
      <c r="BK8" s="68" t="n">
        <f aca="false">IF((BK6-BJ6)&lt;=0,"",(BK6-BJ6)*$C$6)</f>
        <v>109060.000000001</v>
      </c>
      <c r="BL8" s="68" t="n">
        <f aca="false">IF((BL6-BK6)&lt;=0,"",(BL6-BK6)*$C$6)</f>
        <v>82489.9999999994</v>
      </c>
      <c r="BM8" s="68" t="n">
        <f aca="false">IF((BM6-BL6)&lt;=0,"",(BM6-BL6)*$C$6)</f>
        <v>72750</v>
      </c>
      <c r="BN8" s="68" t="n">
        <f aca="false">IF((BN6-BM6)&lt;=0,"",(BN6-BM6)*$C$6)</f>
        <v>120400</v>
      </c>
      <c r="BO8" s="68" t="n">
        <f aca="false">IF((BO6-BN6)&lt;=0,"",(BO6-BN6)*$C$6)</f>
        <v>118300</v>
      </c>
      <c r="BP8" s="68" t="n">
        <f aca="false">IF((BP6-BO6)&lt;=0,"",(BP6-BO6)*$C$6)</f>
        <v>182600</v>
      </c>
      <c r="BQ8" s="67" t="n">
        <f aca="false">SUM(BE8:BP8)</f>
        <v>1444600</v>
      </c>
      <c r="BR8" s="68" t="n">
        <f aca="false">IF((BR6-BP6)&lt;=0,"",(BR6-BP6)*$C$6)</f>
        <v>277700</v>
      </c>
      <c r="BS8" s="68" t="n">
        <f aca="false">IF((BS6-BR6)&lt;=0,"",(BS6-BR6)*$C$6)</f>
        <v>169200</v>
      </c>
      <c r="BT8" s="68" t="n">
        <f aca="false">IF((BT6-BS6)&lt;=0,"",(BT6-BS6)*$C$6)</f>
        <v>143800</v>
      </c>
      <c r="BU8" s="68" t="n">
        <f aca="false">IF((BU6-BT6)&lt;=0,"",(BU6-BT6)*$C$6)</f>
        <v>139600</v>
      </c>
      <c r="BV8" s="68" t="n">
        <f aca="false">IF((BV6-BU6)&lt;=0,"",(BV6-BU6)*$C$6)</f>
        <v>71400</v>
      </c>
      <c r="BW8" s="68" t="str">
        <f aca="false">IF((BW6-BV6)&lt;=0,"",(BW6-BV6)*$C$6)</f>
        <v/>
      </c>
      <c r="BX8" s="68" t="str">
        <f aca="false">IF((BX6-BW6)&lt;=0,"",(BX6-BW6)*$C$6)</f>
        <v/>
      </c>
      <c r="BY8" s="68" t="str">
        <f aca="false">IF((BY6-BX6)&lt;=0,"",(BY6-BX6)*$C$6)</f>
        <v/>
      </c>
      <c r="BZ8" s="68" t="str">
        <f aca="false">IF((BZ6-BY6)&lt;=0,"",(BZ6-BY6)*$C$6)</f>
        <v/>
      </c>
      <c r="CA8" s="68" t="str">
        <f aca="false">IF((CA6-BZ6)&lt;=0,"",(CA6-BZ6)*$C$6)</f>
        <v/>
      </c>
      <c r="CB8" s="68" t="str">
        <f aca="false">IF((CB6-CA6)&lt;=0,"",(CB6-CA6)*$C$6)</f>
        <v/>
      </c>
      <c r="CC8" s="68" t="str">
        <f aca="false">IF((CC6-CB6)&lt;=0,"",(CC6-CB6)*$C$6)</f>
        <v/>
      </c>
      <c r="CD8" s="67" t="n">
        <f aca="false">SUM(BR8:CC8)</f>
        <v>801700</v>
      </c>
    </row>
    <row r="9" s="76" customFormat="true" ht="18.75" hidden="false" customHeight="false" outlineLevel="0" collapsed="false">
      <c r="A9" s="64"/>
      <c r="B9" s="87" t="s">
        <v>107</v>
      </c>
      <c r="C9" s="88"/>
      <c r="D9" s="89" t="str">
        <f aca="false">IF((D7-C7)&lt;=0,"",(D7-C7)*$C$7)</f>
        <v/>
      </c>
      <c r="E9" s="89" t="str">
        <f aca="false">IF((E7-D7)&lt;=0,"",(E7-D7)*$C$7)</f>
        <v/>
      </c>
      <c r="F9" s="89" t="str">
        <f aca="false">IF((F7-E7)&lt;=0,"",(F7-E7)*$C$7)</f>
        <v/>
      </c>
      <c r="G9" s="89" t="str">
        <f aca="false">IF((G7-F7)&lt;=0,"",(G7-F7)*$C$7)</f>
        <v/>
      </c>
      <c r="H9" s="89" t="str">
        <f aca="false">IF((H7-G7)&lt;=0,"",(H7-G7)*$C$7)</f>
        <v/>
      </c>
      <c r="I9" s="89" t="str">
        <f aca="false">IF((I7-H7)&lt;=0,"",(I7-H7)*$C$7)</f>
        <v/>
      </c>
      <c r="J9" s="89" t="str">
        <f aca="false">IF((J7-I7)&lt;=0,"",(J7-I7)*$C$7)</f>
        <v/>
      </c>
      <c r="K9" s="89" t="str">
        <f aca="false">IF((K7-J7)&lt;=0,"",(K7-J7)*$C$7)</f>
        <v/>
      </c>
      <c r="L9" s="89" t="str">
        <f aca="false">IF((L7-K7)&lt;=0,"",(L7-K7)*$C$7)</f>
        <v/>
      </c>
      <c r="M9" s="89"/>
      <c r="N9" s="89" t="str">
        <f aca="false">IF((N7-M7)&lt;=0,"",(N7-M7)*$C$7)</f>
        <v/>
      </c>
      <c r="O9" s="89" t="str">
        <f aca="false">IF((O7-N7)&lt;=0,"",(O7-N7)*$C$7)</f>
        <v/>
      </c>
      <c r="P9" s="89" t="n">
        <f aca="false">SUM(E9:O9)</f>
        <v>0</v>
      </c>
      <c r="Q9" s="89" t="str">
        <f aca="false">IF((Q7-O7)&lt;=0,"",(Q7-O7)*$C$7)</f>
        <v/>
      </c>
      <c r="R9" s="89" t="str">
        <f aca="false">IF((R7-Q7)&lt;=0,"",(R7-Q7)*$C$7)</f>
        <v/>
      </c>
      <c r="S9" s="89" t="str">
        <f aca="false">IF((S7-R7)&lt;=0,"",(S7-R7)*$C$7)</f>
        <v/>
      </c>
      <c r="T9" s="89" t="str">
        <f aca="false">IF((T7-S7)&lt;=0,"",(T7-S7)*$C$7)</f>
        <v/>
      </c>
      <c r="U9" s="89" t="str">
        <f aca="false">IF((U7-T7)&lt;=0,"",(U7-T7)*$C$7)</f>
        <v/>
      </c>
      <c r="V9" s="89" t="str">
        <f aca="false">IF((V7-U7)&lt;=0,"",(V7-U7)*$C$7)</f>
        <v/>
      </c>
      <c r="W9" s="89" t="str">
        <f aca="false">IF((W7-V7)&lt;=0,"",(W7-V7)*$C$7)</f>
        <v/>
      </c>
      <c r="X9" s="89" t="str">
        <f aca="false">IF((X7-W7)&lt;=0,"",(X7-W7)*$C$7)</f>
        <v/>
      </c>
      <c r="Y9" s="89" t="str">
        <f aca="false">IF((Y7-X7)&lt;=0,"",(Y7-X7)*$C$7)</f>
        <v/>
      </c>
      <c r="Z9" s="89" t="str">
        <f aca="false">IF((Z7-Y7)&lt;=0,"",(Z7-Y7)*$C$7)</f>
        <v/>
      </c>
      <c r="AA9" s="89" t="str">
        <f aca="false">IF((AA7-Z7)&lt;=0,"",(AA7-Z7)*$C$7)</f>
        <v/>
      </c>
      <c r="AB9" s="89" t="str">
        <f aca="false">IF((AB7-AA7)&lt;=0,"",(AB7-AA7)*$C$7)</f>
        <v/>
      </c>
      <c r="AC9" s="89" t="n">
        <f aca="false">IF((AC7-AB7)&lt;=0,"",(AC7-AB7)*$C$7)</f>
        <v>4</v>
      </c>
      <c r="AD9" s="89" t="n">
        <f aca="false">SUM(Q9:AB9)</f>
        <v>0</v>
      </c>
      <c r="AE9" s="89" t="n">
        <f aca="false">IF((AE7-AC7)&lt;=0,"",(AE7-AC7)*$C$7)</f>
        <v>2</v>
      </c>
      <c r="AF9" s="89" t="n">
        <f aca="false">IF((AF7-AE7)&lt;=0,"",(AF7-AE7)*$C$7)</f>
        <v>1</v>
      </c>
      <c r="AG9" s="89" t="n">
        <f aca="false">IF((AG7-AF7)&lt;=0,"",(AG7-AF7)*$C$7)</f>
        <v>2</v>
      </c>
      <c r="AH9" s="89" t="n">
        <f aca="false">IF((AH7-AG7)&lt;=0,"",(AH7-AG7)*$C$7)</f>
        <v>1</v>
      </c>
      <c r="AI9" s="89" t="n">
        <f aca="false">IF((AI7-AH7)&lt;=0,"",(AI7-AH7)*$C$7)</f>
        <v>2</v>
      </c>
      <c r="AJ9" s="89" t="n">
        <f aca="false">IF((AJ7-AI7)&lt;=0,"",(AJ7-AI7)*$C$7)</f>
        <v>2</v>
      </c>
      <c r="AK9" s="89" t="n">
        <f aca="false">IF((AK7-AJ7)&lt;=0,"",(AK7-AJ7)*$C$7)</f>
        <v>2</v>
      </c>
      <c r="AL9" s="89" t="n">
        <f aca="false">IF((AL7-AK7)&lt;=0,"",(AL7-AK7)*$C$7)</f>
        <v>1</v>
      </c>
      <c r="AM9" s="89" t="n">
        <f aca="false">IF((AM7-AL7)&lt;=0,"",(AM7-AL7)*$C$7)</f>
        <v>2</v>
      </c>
      <c r="AN9" s="89" t="n">
        <f aca="false">IF((AN7-AM7)&lt;=0,"",(AN7-AM7)*$C$7)</f>
        <v>2</v>
      </c>
      <c r="AO9" s="89" t="n">
        <f aca="false">IF((AO7-AN7)&lt;=0,"",(AO7-AN7)*$C$7)</f>
        <v>2</v>
      </c>
      <c r="AP9" s="89" t="n">
        <f aca="false">IF((AP7-AO7)&lt;=0,"",(AP7-AO7)*$C$7)</f>
        <v>2</v>
      </c>
      <c r="AQ9" s="89" t="n">
        <f aca="false">SUM(AE9:AP9)</f>
        <v>21</v>
      </c>
      <c r="AR9" s="89" t="n">
        <f aca="false">IF((AR7-AP7)&lt;=0,"",(AR7-AP7)*$C$7)</f>
        <v>2</v>
      </c>
      <c r="AS9" s="89" t="n">
        <f aca="false">IF((AS7-AR7)&lt;=0,"",(AS7-AR7)*$C$7)</f>
        <v>2</v>
      </c>
      <c r="AT9" s="89" t="n">
        <f aca="false">IF((AT7-AS7)&lt;=0,"",(AT7-AS7)*$C$7)</f>
        <v>2</v>
      </c>
      <c r="AU9" s="89" t="n">
        <f aca="false">IF((AU7-AT7)&lt;=0,"",(AU7-AT7)*$C$7)</f>
        <v>2</v>
      </c>
      <c r="AV9" s="89" t="n">
        <f aca="false">IF((AV7-AU7)&lt;=0,"",(AV7-AU7)*$C$7)</f>
        <v>2</v>
      </c>
      <c r="AW9" s="89" t="n">
        <f aca="false">IF((AW7-AV7)&lt;=0,"",(AW7-AV7)*$C$7)</f>
        <v>2</v>
      </c>
      <c r="AX9" s="89" t="n">
        <f aca="false">IF((AX7-AW7)&lt;=0,"",(AX7-AW7)*$C$7)</f>
        <v>2</v>
      </c>
      <c r="AY9" s="89" t="n">
        <f aca="false">IF((AY7-AX7)&lt;=0,"",(AY7-AX7)*$C$7)</f>
        <v>2</v>
      </c>
      <c r="AZ9" s="89" t="n">
        <f aca="false">IF((AZ7-AY7)&lt;=0,"",(AZ7-AY7)*$C$7)</f>
        <v>1</v>
      </c>
      <c r="BA9" s="89" t="n">
        <f aca="false">IF((BA7-AZ7)&lt;=0,"",(BA7-AZ7)*$C$7)</f>
        <v>2</v>
      </c>
      <c r="BB9" s="89" t="n">
        <f aca="false">IF((BB7-BA7)&lt;=0,"",(BB7-BA7)*$C$7)</f>
        <v>2</v>
      </c>
      <c r="BC9" s="89" t="n">
        <f aca="false">IF((BC7-BB7)&lt;=0,"",(BC7-BB7)*$C$7)</f>
        <v>2</v>
      </c>
      <c r="BD9" s="89" t="n">
        <f aca="false">SUM(AR9:BC9)</f>
        <v>23</v>
      </c>
      <c r="BE9" s="89" t="n">
        <f aca="false">IF((BE7-BC7)&lt;=0,"",(BE7-BC7)*$C$7)</f>
        <v>2</v>
      </c>
      <c r="BF9" s="89" t="n">
        <f aca="false">IF((BF7-BE7)&lt;=0,"",(BF7-BE7)*$C$7)</f>
        <v>2</v>
      </c>
      <c r="BG9" s="89" t="n">
        <f aca="false">IF((BG7-BF7)&lt;=0,"",(BG7-BF7)*$C$7)</f>
        <v>2</v>
      </c>
      <c r="BH9" s="89" t="n">
        <f aca="false">IF((BH7-BG7)&lt;=0,"",(BH7-BG7)*$C$7)</f>
        <v>2</v>
      </c>
      <c r="BI9" s="89" t="n">
        <f aca="false">IF((BI7-BH7)&lt;=0,"",(BI7-BH7)*$C$7)</f>
        <v>2</v>
      </c>
      <c r="BJ9" s="89" t="n">
        <f aca="false">IF((BJ7-BI7)&lt;=0,"",(BJ7-BI7)*$C$7)</f>
        <v>2</v>
      </c>
      <c r="BK9" s="89" t="n">
        <f aca="false">IF((BK7-BJ7)&lt;=0,"",(BK7-BJ7)*$C$7)</f>
        <v>2</v>
      </c>
      <c r="BL9" s="89" t="n">
        <f aca="false">IF((BL7-BK7)&lt;=0,"",(BL7-BK7)*$C$7)</f>
        <v>2</v>
      </c>
      <c r="BM9" s="89" t="n">
        <f aca="false">IF((BM7-BL7)&lt;=0,"",(BM7-BL7)*$C$7)</f>
        <v>2</v>
      </c>
      <c r="BN9" s="89" t="n">
        <f aca="false">IF((BN7-BM7)&lt;=0,"",(BN7-BM7)*$C$7)</f>
        <v>2</v>
      </c>
      <c r="BO9" s="89" t="n">
        <f aca="false">IF((BO7-BN7)&lt;=0,"",(BO7-BN7)*$C$7)</f>
        <v>2</v>
      </c>
      <c r="BP9" s="89" t="n">
        <f aca="false">IF((BP7-BO7)&lt;=0,"",(BP7-BO7)*$C$7)</f>
        <v>1</v>
      </c>
      <c r="BQ9" s="89" t="n">
        <f aca="false">SUM(BE9:BP9)</f>
        <v>23</v>
      </c>
      <c r="BR9" s="89" t="str">
        <f aca="false">IF((BR7-BP7)&lt;=0,"",(BR7-BP7)*$C$7)</f>
        <v/>
      </c>
      <c r="BS9" s="89" t="n">
        <f aca="false">IF((BS7-BR7)&lt;=0,"",(BS7-BR7)*$C$7)</f>
        <v>2</v>
      </c>
      <c r="BT9" s="89" t="n">
        <f aca="false">IF((BT7-BS7)&lt;=0,"",(BT7-BS7)*$C$7)</f>
        <v>2</v>
      </c>
      <c r="BU9" s="89" t="n">
        <f aca="false">IF((BU7-BT7)&lt;=0,"",(BU7-BT7)*$C$7)</f>
        <v>2</v>
      </c>
      <c r="BV9" s="89" t="n">
        <f aca="false">IF((BV7-BU7)&lt;=0,"",(BV7-BU7)*$C$7)</f>
        <v>2</v>
      </c>
      <c r="BW9" s="89" t="str">
        <f aca="false">IF((BW7-BV7)&lt;=0,"",(BW7-BV7)*$C$7)</f>
        <v/>
      </c>
      <c r="BX9" s="89" t="str">
        <f aca="false">IF((BX7-BW7)&lt;=0,"",(BX7-BW7)*$C$7)</f>
        <v/>
      </c>
      <c r="BY9" s="89" t="str">
        <f aca="false">IF((BY7-BX7)&lt;=0,"",(BY7-BX7)*$C$7)</f>
        <v/>
      </c>
      <c r="BZ9" s="89" t="str">
        <f aca="false">IF((BZ7-BY7)&lt;=0,"",(BZ7-BY7)*$C$7)</f>
        <v/>
      </c>
      <c r="CA9" s="89" t="str">
        <f aca="false">IF((CA7-BZ7)&lt;=0,"",(CA7-BZ7)*$C$7)</f>
        <v/>
      </c>
      <c r="CB9" s="89" t="str">
        <f aca="false">IF((CB7-CA7)&lt;=0,"",(CB7-CA7)*$C$7)</f>
        <v/>
      </c>
      <c r="CC9" s="89" t="str">
        <f aca="false">IF((CC7-CB7)&lt;=0,"",(CC7-CB7)*$C$7)</f>
        <v/>
      </c>
      <c r="CD9" s="89" t="n">
        <f aca="false">SUM(BR9:CC9)</f>
        <v>8</v>
      </c>
    </row>
    <row r="15" customFormat="false" ht="15" hidden="false" customHeight="false" outlineLevel="0" collapsed="false">
      <c r="AL15" s="0" t="s">
        <v>118</v>
      </c>
    </row>
  </sheetData>
  <mergeCells count="9">
    <mergeCell ref="A3:A5"/>
    <mergeCell ref="B3:B5"/>
    <mergeCell ref="C3:C5"/>
    <mergeCell ref="D3:O3"/>
    <mergeCell ref="Q3:AB3"/>
    <mergeCell ref="AE3:AP3"/>
    <mergeCell ref="AR3:BC3"/>
    <mergeCell ref="BE3:BP3"/>
    <mergeCell ref="BR3:CC3"/>
  </mergeCells>
  <printOptions headings="false" gridLines="false" gridLinesSet="true" horizontalCentered="false" verticalCentered="false"/>
  <pageMargins left="0.708333333333333" right="0.708333333333333" top="0.747916666666667" bottom="0.747916666666667" header="0.511805555555555" footer="0.51180555555555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280</TotalTime>
  <Application>LibreOffice/7.1.3.2$Windows_X86_64 LibreOffice_project/47f78053abe362b9384784d31a6e56f8511eb1c1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2021-10-25T13:45:00Z</dcterms:created>
  <dc:creator>Віницький Володимир Борисович</dc:creator>
  <dc:description/>
  <dc:language>en-US</dc:language>
  <cp:lastModifiedBy/>
  <dcterms:modified xsi:type="dcterms:W3CDTF">2026-06-01T11:07:08Z</dcterms:modified>
  <cp:revision>80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14A355FC64B84C65B751C33B71BEB16D_12</vt:lpwstr>
  </property>
  <property fmtid="{D5CDD505-2E9C-101B-9397-08002B2CF9AE}" pid="3" name="KSOProductBuildVer">
    <vt:lpwstr>1049-12.2.0.16909</vt:lpwstr>
  </property>
</Properties>
</file>