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yalty\source\PchilkaWebApp\docs\лічільники\"/>
    </mc:Choice>
  </mc:AlternateContent>
  <bookViews>
    <workbookView xWindow="0" yWindow="0" windowWidth="15045" windowHeight="10380" tabRatio="636"/>
  </bookViews>
  <sheets>
    <sheet name="субаренда" sheetId="1" r:id="rId1"/>
    <sheet name="М3" sheetId="2" r:id="rId2"/>
    <sheet name="М5" sheetId="3" r:id="rId3"/>
    <sheet name="М11" sheetId="4" r:id="rId4"/>
    <sheet name="М40" sheetId="5" r:id="rId5"/>
  </sheets>
  <externalReferences>
    <externalReference r:id="rId6"/>
    <externalReference r:id="rId7"/>
  </externalReferences>
  <definedNames>
    <definedName name="_Hlk13573816" localSheetId="0">субаренда!#REF!</definedName>
    <definedName name="_xlnm._FilterDatabase" localSheetId="1" hidden="1">М3!$A$1:$O$18</definedName>
    <definedName name="_xlnm._FilterDatabase" localSheetId="0" hidden="1">субаренда!$A$2:$AG$85</definedName>
    <definedName name="Подразделения">[1]Списки!$A$26:$A$56</definedName>
  </definedNames>
  <calcPr calcId="181029"/>
</workbook>
</file>

<file path=xl/calcChain.xml><?xml version="1.0" encoding="utf-8"?>
<calcChain xmlns="http://schemas.openxmlformats.org/spreadsheetml/2006/main">
  <c r="M215" i="5" l="1"/>
  <c r="M216" i="5" s="1"/>
  <c r="AH70" i="1"/>
  <c r="AH72" i="1"/>
  <c r="AH74" i="1"/>
  <c r="AE80" i="1"/>
  <c r="AH77" i="1"/>
  <c r="AH85" i="1"/>
  <c r="AH58" i="1" l="1"/>
  <c r="AH57" i="1"/>
  <c r="AH54" i="1"/>
  <c r="AH48" i="1"/>
  <c r="AH47" i="1"/>
  <c r="AH45" i="1"/>
  <c r="AH41" i="1"/>
  <c r="AH32" i="1"/>
  <c r="AH27" i="1"/>
  <c r="AH12" i="1" l="1"/>
  <c r="AH11" i="1"/>
  <c r="AH6" i="1"/>
  <c r="Y274" i="2"/>
  <c r="AE72" i="1"/>
  <c r="K274" i="2" l="1"/>
  <c r="M274" i="2" s="1"/>
  <c r="M276" i="2" s="1"/>
  <c r="L217" i="5"/>
  <c r="L216" i="5"/>
  <c r="L215" i="5"/>
  <c r="N215" i="5" s="1"/>
  <c r="L203" i="4"/>
  <c r="N216" i="5" l="1"/>
  <c r="N218" i="5" s="1"/>
  <c r="N203" i="4"/>
  <c r="N204" i="4" s="1"/>
  <c r="AD30" i="1"/>
  <c r="AF30" i="1" s="1"/>
  <c r="AD31" i="1"/>
  <c r="AF31" i="1" s="1"/>
  <c r="AD32" i="1"/>
  <c r="AF32" i="1" s="1"/>
  <c r="AD33" i="1"/>
  <c r="AD34" i="1"/>
  <c r="AD35" i="1"/>
  <c r="AD36" i="1"/>
  <c r="AD37" i="1"/>
  <c r="L406" i="3" l="1"/>
  <c r="L405" i="3"/>
  <c r="L404" i="3"/>
  <c r="N404" i="3" s="1"/>
  <c r="L403" i="3"/>
  <c r="AD4" i="1" l="1"/>
  <c r="AF4" i="1" s="1"/>
  <c r="AD5" i="1"/>
  <c r="AF5" i="1" s="1"/>
  <c r="AD6" i="1"/>
  <c r="AF6" i="1" s="1"/>
  <c r="AD7" i="1"/>
  <c r="AF7" i="1" s="1"/>
  <c r="AD8" i="1"/>
  <c r="AF8" i="1" s="1"/>
  <c r="AD9" i="1"/>
  <c r="AD10" i="1"/>
  <c r="AF10" i="1" s="1"/>
  <c r="AD11" i="1"/>
  <c r="AF11" i="1" s="1"/>
  <c r="AD12" i="1"/>
  <c r="AF12" i="1" s="1"/>
  <c r="AD13" i="1"/>
  <c r="AF13" i="1" s="1"/>
  <c r="AD14" i="1"/>
  <c r="AF14" i="1" s="1"/>
  <c r="AD15" i="1"/>
  <c r="AD16" i="1"/>
  <c r="AD17" i="1"/>
  <c r="AF17" i="1" s="1"/>
  <c r="AD18" i="1"/>
  <c r="AD19" i="1"/>
  <c r="AD20" i="1"/>
  <c r="AD21" i="1"/>
  <c r="AD22" i="1"/>
  <c r="AD23" i="1"/>
  <c r="AD24" i="1"/>
  <c r="AF24" i="1" s="1"/>
  <c r="AD25" i="1"/>
  <c r="AD26" i="1"/>
  <c r="AF26" i="1" s="1"/>
  <c r="AD27" i="1"/>
  <c r="AF27" i="1" s="1"/>
  <c r="AD28" i="1"/>
  <c r="AD29" i="1"/>
  <c r="AD38" i="1"/>
  <c r="AD39" i="1"/>
  <c r="AD40" i="1"/>
  <c r="AF40" i="1" s="1"/>
  <c r="AD41" i="1"/>
  <c r="AF41" i="1" s="1"/>
  <c r="AD42" i="1"/>
  <c r="AF42" i="1" s="1"/>
  <c r="AD43" i="1"/>
  <c r="AF43" i="1" s="1"/>
  <c r="AD44" i="1"/>
  <c r="AD45" i="1"/>
  <c r="AF45" i="1" s="1"/>
  <c r="AD46" i="1"/>
  <c r="AF46" i="1" s="1"/>
  <c r="AD47" i="1"/>
  <c r="AF47" i="1" s="1"/>
  <c r="AD48" i="1"/>
  <c r="AF48" i="1" s="1"/>
  <c r="AD49" i="1"/>
  <c r="AD50" i="1"/>
  <c r="AD51" i="1"/>
  <c r="AD52" i="1"/>
  <c r="AD53" i="1"/>
  <c r="AD54" i="1"/>
  <c r="AF54" i="1" s="1"/>
  <c r="AD55" i="1"/>
  <c r="AF55" i="1" s="1"/>
  <c r="AD56" i="1"/>
  <c r="AF56" i="1" s="1"/>
  <c r="AD57" i="1"/>
  <c r="AF57" i="1" s="1"/>
  <c r="AD58" i="1"/>
  <c r="AF58" i="1" s="1"/>
  <c r="AD59" i="1"/>
  <c r="AF59" i="1" s="1"/>
  <c r="AD60" i="1"/>
  <c r="AF60" i="1" s="1"/>
  <c r="AD61" i="1"/>
  <c r="AF61" i="1" s="1"/>
  <c r="AD62" i="1"/>
  <c r="AF62" i="1" s="1"/>
  <c r="AD63" i="1"/>
  <c r="AF63" i="1" s="1"/>
  <c r="AD64" i="1"/>
  <c r="AF64" i="1" s="1"/>
  <c r="AD65" i="1"/>
  <c r="AD66" i="1"/>
  <c r="AF66" i="1" s="1"/>
  <c r="AD67" i="1"/>
  <c r="AF67" i="1" s="1"/>
  <c r="AD68" i="1"/>
  <c r="AF68" i="1" s="1"/>
  <c r="AD69" i="1"/>
  <c r="AF69" i="1" s="1"/>
  <c r="AD70" i="1"/>
  <c r="AD71" i="1"/>
  <c r="AF71" i="1" s="1"/>
  <c r="AD72" i="1"/>
  <c r="AF72" i="1" s="1"/>
  <c r="AD73" i="1"/>
  <c r="AD74" i="1"/>
  <c r="AD75" i="1"/>
  <c r="AF75" i="1" s="1"/>
  <c r="AD76" i="1"/>
  <c r="AF76" i="1" s="1"/>
  <c r="AD77" i="1"/>
  <c r="AF77" i="1" s="1"/>
  <c r="AD78" i="1"/>
  <c r="AD80" i="1"/>
  <c r="AD81" i="1"/>
  <c r="AD82" i="1"/>
  <c r="AD83" i="1"/>
  <c r="AF83" i="1" s="1"/>
  <c r="AD84" i="1"/>
  <c r="AF84" i="1" s="1"/>
  <c r="AD85" i="1"/>
  <c r="AF85" i="1" s="1"/>
  <c r="AD3" i="1"/>
  <c r="AF3" i="1" s="1"/>
  <c r="AC3" i="1"/>
  <c r="L207" i="5"/>
  <c r="L206" i="5"/>
  <c r="M205" i="5"/>
  <c r="M206" i="5" s="1"/>
  <c r="L205" i="5"/>
  <c r="L198" i="5"/>
  <c r="M197" i="5"/>
  <c r="L197" i="5"/>
  <c r="L196" i="5"/>
  <c r="N196" i="5" s="1"/>
  <c r="L189" i="5"/>
  <c r="M188" i="5"/>
  <c r="N188" i="5" s="1"/>
  <c r="L188" i="5"/>
  <c r="N187" i="5"/>
  <c r="N190" i="5" s="1"/>
  <c r="L187" i="5"/>
  <c r="L180" i="5"/>
  <c r="M179" i="5"/>
  <c r="L179" i="5"/>
  <c r="N179" i="5" s="1"/>
  <c r="L178" i="5"/>
  <c r="N178" i="5" s="1"/>
  <c r="L171" i="5"/>
  <c r="M170" i="5"/>
  <c r="L170" i="5"/>
  <c r="L169" i="5"/>
  <c r="N169" i="5" s="1"/>
  <c r="L161" i="5"/>
  <c r="M160" i="5"/>
  <c r="L160" i="5"/>
  <c r="L159" i="5"/>
  <c r="N159" i="5" s="1"/>
  <c r="L152" i="5"/>
  <c r="M151" i="5"/>
  <c r="N151" i="5" s="1"/>
  <c r="L151" i="5"/>
  <c r="N150" i="5"/>
  <c r="N153" i="5" s="1"/>
  <c r="L150" i="5"/>
  <c r="L143" i="5"/>
  <c r="M142" i="5"/>
  <c r="L142" i="5"/>
  <c r="N142" i="5" s="1"/>
  <c r="L141" i="5"/>
  <c r="N141" i="5" s="1"/>
  <c r="L133" i="5"/>
  <c r="M132" i="5"/>
  <c r="L132" i="5"/>
  <c r="L131" i="5"/>
  <c r="N131" i="5" s="1"/>
  <c r="L124" i="5"/>
  <c r="M123" i="5"/>
  <c r="L123" i="5"/>
  <c r="L122" i="5"/>
  <c r="N122" i="5" s="1"/>
  <c r="L114" i="5"/>
  <c r="M113" i="5"/>
  <c r="N113" i="5" s="1"/>
  <c r="L113" i="5"/>
  <c r="N112" i="5"/>
  <c r="N115" i="5" s="1"/>
  <c r="L112" i="5"/>
  <c r="L104" i="5"/>
  <c r="M103" i="5"/>
  <c r="L103" i="5"/>
  <c r="N103" i="5" s="1"/>
  <c r="L102" i="5"/>
  <c r="N102" i="5" s="1"/>
  <c r="L94" i="5"/>
  <c r="M93" i="5"/>
  <c r="L93" i="5"/>
  <c r="L92" i="5"/>
  <c r="N92" i="5" s="1"/>
  <c r="L84" i="5"/>
  <c r="M83" i="5"/>
  <c r="L83" i="5"/>
  <c r="R82" i="5"/>
  <c r="L82" i="5"/>
  <c r="N82" i="5" s="1"/>
  <c r="L74" i="5"/>
  <c r="M73" i="5"/>
  <c r="L73" i="5"/>
  <c r="R72" i="5"/>
  <c r="L72" i="5"/>
  <c r="N72" i="5" s="1"/>
  <c r="L64" i="5"/>
  <c r="M63" i="5"/>
  <c r="L63" i="5"/>
  <c r="L62" i="5"/>
  <c r="N62" i="5" s="1"/>
  <c r="L54" i="5"/>
  <c r="M53" i="5"/>
  <c r="N53" i="5" s="1"/>
  <c r="L53" i="5"/>
  <c r="N52" i="5"/>
  <c r="N55" i="5" s="1"/>
  <c r="L52" i="5"/>
  <c r="L44" i="5"/>
  <c r="M43" i="5"/>
  <c r="L43" i="5"/>
  <c r="N43" i="5" s="1"/>
  <c r="L42" i="5"/>
  <c r="N42" i="5" s="1"/>
  <c r="M34" i="5"/>
  <c r="N34" i="5" s="1"/>
  <c r="L34" i="5"/>
  <c r="N33" i="5"/>
  <c r="L33" i="5"/>
  <c r="M26" i="5"/>
  <c r="L26" i="5"/>
  <c r="L25" i="5"/>
  <c r="N25" i="5" s="1"/>
  <c r="M17" i="5"/>
  <c r="L17" i="5"/>
  <c r="L16" i="5"/>
  <c r="N16" i="5" s="1"/>
  <c r="M9" i="5"/>
  <c r="L9" i="5"/>
  <c r="L8" i="5"/>
  <c r="N8" i="5" s="1"/>
  <c r="L195" i="4"/>
  <c r="N195" i="4" s="1"/>
  <c r="N196" i="4" s="1"/>
  <c r="L188" i="4"/>
  <c r="N188" i="4" s="1"/>
  <c r="N189" i="4" s="1"/>
  <c r="L181" i="4"/>
  <c r="N181" i="4" s="1"/>
  <c r="N182" i="4" s="1"/>
  <c r="L174" i="4"/>
  <c r="L167" i="4"/>
  <c r="N167" i="4" s="1"/>
  <c r="N168" i="4" s="1"/>
  <c r="L160" i="4"/>
  <c r="N160" i="4" s="1"/>
  <c r="N161" i="4" s="1"/>
  <c r="L152" i="4"/>
  <c r="N152" i="4" s="1"/>
  <c r="N153" i="4" s="1"/>
  <c r="N145" i="4"/>
  <c r="N146" i="4" s="1"/>
  <c r="L145" i="4"/>
  <c r="L138" i="4"/>
  <c r="N138" i="4" s="1"/>
  <c r="N139" i="4" s="1"/>
  <c r="M130" i="4"/>
  <c r="L130" i="4"/>
  <c r="N130" i="4" s="1"/>
  <c r="N131" i="4" s="1"/>
  <c r="L123" i="4"/>
  <c r="N123" i="4" s="1"/>
  <c r="N124" i="4" s="1"/>
  <c r="L116" i="4"/>
  <c r="N116" i="4" s="1"/>
  <c r="N117" i="4" s="1"/>
  <c r="Q109" i="4"/>
  <c r="L109" i="4"/>
  <c r="N109" i="4" s="1"/>
  <c r="N110" i="4" s="1"/>
  <c r="Q101" i="4"/>
  <c r="L101" i="4"/>
  <c r="N101" i="4" s="1"/>
  <c r="N102" i="4" s="1"/>
  <c r="Q93" i="4"/>
  <c r="L93" i="4"/>
  <c r="N93" i="4" s="1"/>
  <c r="N94" i="4" s="1"/>
  <c r="L85" i="4"/>
  <c r="N85" i="4" s="1"/>
  <c r="N86" i="4" s="1"/>
  <c r="L77" i="4"/>
  <c r="N77" i="4" s="1"/>
  <c r="N78" i="4" s="1"/>
  <c r="L69" i="4"/>
  <c r="N69" i="4" s="1"/>
  <c r="N70" i="4" s="1"/>
  <c r="L61" i="4"/>
  <c r="N61" i="4" s="1"/>
  <c r="N62" i="4" s="1"/>
  <c r="L54" i="4"/>
  <c r="N54" i="4" s="1"/>
  <c r="N55" i="4" s="1"/>
  <c r="L47" i="4"/>
  <c r="N47" i="4" s="1"/>
  <c r="N48" i="4" s="1"/>
  <c r="L39" i="4"/>
  <c r="N39" i="4" s="1"/>
  <c r="N40" i="4" s="1"/>
  <c r="L32" i="4"/>
  <c r="N32" i="4" s="1"/>
  <c r="N33" i="4" s="1"/>
  <c r="L25" i="4"/>
  <c r="N25" i="4" s="1"/>
  <c r="N26" i="4" s="1"/>
  <c r="L18" i="4"/>
  <c r="N18" i="4" s="1"/>
  <c r="N19" i="4" s="1"/>
  <c r="L9" i="4"/>
  <c r="N9" i="4" s="1"/>
  <c r="N10" i="4" s="1"/>
  <c r="L395" i="3"/>
  <c r="L394" i="3"/>
  <c r="L393" i="3"/>
  <c r="N393" i="3" s="1"/>
  <c r="M392" i="3"/>
  <c r="L392" i="3"/>
  <c r="L385" i="3"/>
  <c r="M384" i="3"/>
  <c r="M385" i="3" s="1"/>
  <c r="N385" i="3" s="1"/>
  <c r="L384" i="3"/>
  <c r="N383" i="3"/>
  <c r="L383" i="3"/>
  <c r="N382" i="3"/>
  <c r="L382" i="3"/>
  <c r="L374" i="3"/>
  <c r="M373" i="3"/>
  <c r="M374" i="3" s="1"/>
  <c r="L373" i="3"/>
  <c r="L372" i="3"/>
  <c r="N372" i="3" s="1"/>
  <c r="L371" i="3"/>
  <c r="N371" i="3" s="1"/>
  <c r="M364" i="3"/>
  <c r="L364" i="3"/>
  <c r="N364" i="3" s="1"/>
  <c r="M363" i="3"/>
  <c r="L363" i="3"/>
  <c r="N363" i="3" s="1"/>
  <c r="M362" i="3"/>
  <c r="L362" i="3"/>
  <c r="L361" i="3"/>
  <c r="N361" i="3" s="1"/>
  <c r="M354" i="3"/>
  <c r="L354" i="3"/>
  <c r="N354" i="3" s="1"/>
  <c r="M353" i="3"/>
  <c r="L353" i="3"/>
  <c r="L352" i="3"/>
  <c r="N352" i="3" s="1"/>
  <c r="L351" i="3"/>
  <c r="N351" i="3" s="1"/>
  <c r="M343" i="3"/>
  <c r="L343" i="3"/>
  <c r="N343" i="3" s="1"/>
  <c r="M342" i="3"/>
  <c r="L342" i="3"/>
  <c r="N342" i="3" s="1"/>
  <c r="L341" i="3"/>
  <c r="N341" i="3" s="1"/>
  <c r="L340" i="3"/>
  <c r="N340" i="3" s="1"/>
  <c r="M332" i="3"/>
  <c r="L332" i="3"/>
  <c r="N332" i="3" s="1"/>
  <c r="M331" i="3"/>
  <c r="L331" i="3"/>
  <c r="L330" i="3"/>
  <c r="N330" i="3" s="1"/>
  <c r="L329" i="3"/>
  <c r="N329" i="3" s="1"/>
  <c r="M321" i="3"/>
  <c r="L321" i="3"/>
  <c r="N321" i="3" s="1"/>
  <c r="M320" i="3"/>
  <c r="L320" i="3"/>
  <c r="N320" i="3" s="1"/>
  <c r="L319" i="3"/>
  <c r="N319" i="3" s="1"/>
  <c r="L318" i="3"/>
  <c r="N318" i="3" s="1"/>
  <c r="M310" i="3"/>
  <c r="L310" i="3"/>
  <c r="N310" i="3" s="1"/>
  <c r="M309" i="3"/>
  <c r="L309" i="3"/>
  <c r="L308" i="3"/>
  <c r="N308" i="3" s="1"/>
  <c r="L307" i="3"/>
  <c r="N307" i="3" s="1"/>
  <c r="M299" i="3"/>
  <c r="L299" i="3"/>
  <c r="N299" i="3" s="1"/>
  <c r="M298" i="3"/>
  <c r="L298" i="3"/>
  <c r="N298" i="3" s="1"/>
  <c r="L297" i="3"/>
  <c r="N297" i="3" s="1"/>
  <c r="L296" i="3"/>
  <c r="N296" i="3" s="1"/>
  <c r="M289" i="3"/>
  <c r="L289" i="3"/>
  <c r="N289" i="3" s="1"/>
  <c r="M288" i="3"/>
  <c r="L288" i="3"/>
  <c r="L287" i="3"/>
  <c r="N287" i="3" s="1"/>
  <c r="L286" i="3"/>
  <c r="N286" i="3" s="1"/>
  <c r="M279" i="3"/>
  <c r="L279" i="3"/>
  <c r="N279" i="3" s="1"/>
  <c r="M278" i="3"/>
  <c r="L278" i="3"/>
  <c r="N278" i="3" s="1"/>
  <c r="L277" i="3"/>
  <c r="N277" i="3" s="1"/>
  <c r="L276" i="3"/>
  <c r="N276" i="3" s="1"/>
  <c r="M269" i="3"/>
  <c r="L269" i="3"/>
  <c r="N269" i="3" s="1"/>
  <c r="M268" i="3"/>
  <c r="L268" i="3"/>
  <c r="L267" i="3"/>
  <c r="N267" i="3" s="1"/>
  <c r="L266" i="3"/>
  <c r="N266" i="3" s="1"/>
  <c r="L259" i="3"/>
  <c r="L258" i="3"/>
  <c r="L257" i="3"/>
  <c r="L256" i="3"/>
  <c r="N256" i="3" s="1"/>
  <c r="M255" i="3"/>
  <c r="M257" i="3" s="1"/>
  <c r="L255" i="3"/>
  <c r="L248" i="3"/>
  <c r="N248" i="3" s="1"/>
  <c r="M247" i="3"/>
  <c r="M248" i="3" s="1"/>
  <c r="L247" i="3"/>
  <c r="N247" i="3" s="1"/>
  <c r="L246" i="3"/>
  <c r="N246" i="3" s="1"/>
  <c r="R245" i="3"/>
  <c r="L245" i="3"/>
  <c r="N245" i="3" s="1"/>
  <c r="L238" i="3"/>
  <c r="M237" i="3"/>
  <c r="M238" i="3" s="1"/>
  <c r="L237" i="3"/>
  <c r="N237" i="3" s="1"/>
  <c r="L236" i="3"/>
  <c r="N236" i="3" s="1"/>
  <c r="R235" i="3"/>
  <c r="L235" i="3"/>
  <c r="N235" i="3" s="1"/>
  <c r="L228" i="3"/>
  <c r="M227" i="3"/>
  <c r="M228" i="3" s="1"/>
  <c r="L227" i="3"/>
  <c r="M226" i="3"/>
  <c r="L226" i="3"/>
  <c r="L225" i="3"/>
  <c r="N225" i="3" s="1"/>
  <c r="L218" i="3"/>
  <c r="M217" i="3"/>
  <c r="M218" i="3" s="1"/>
  <c r="L217" i="3"/>
  <c r="N217" i="3" s="1"/>
  <c r="M216" i="3"/>
  <c r="L216" i="3"/>
  <c r="L215" i="3"/>
  <c r="N215" i="3" s="1"/>
  <c r="L208" i="3"/>
  <c r="M207" i="3"/>
  <c r="M208" i="3" s="1"/>
  <c r="L207" i="3"/>
  <c r="M206" i="3"/>
  <c r="L206" i="3"/>
  <c r="L205" i="3"/>
  <c r="N205" i="3" s="1"/>
  <c r="L198" i="3"/>
  <c r="M197" i="3"/>
  <c r="M198" i="3" s="1"/>
  <c r="L197" i="3"/>
  <c r="N197" i="3" s="1"/>
  <c r="L196" i="3"/>
  <c r="N196" i="3" s="1"/>
  <c r="L195" i="3"/>
  <c r="N195" i="3" s="1"/>
  <c r="L188" i="3"/>
  <c r="N188" i="3" s="1"/>
  <c r="M187" i="3"/>
  <c r="M188" i="3" s="1"/>
  <c r="L187" i="3"/>
  <c r="N187" i="3" s="1"/>
  <c r="L186" i="3"/>
  <c r="N186" i="3" s="1"/>
  <c r="L185" i="3"/>
  <c r="N185" i="3" s="1"/>
  <c r="L177" i="3"/>
  <c r="M176" i="3"/>
  <c r="M177" i="3" s="1"/>
  <c r="L176" i="3"/>
  <c r="N176" i="3" s="1"/>
  <c r="L175" i="3"/>
  <c r="N175" i="3" s="1"/>
  <c r="L174" i="3"/>
  <c r="N174" i="3" s="1"/>
  <c r="L167" i="3"/>
  <c r="N167" i="3" s="1"/>
  <c r="M166" i="3"/>
  <c r="M167" i="3" s="1"/>
  <c r="L166" i="3"/>
  <c r="N166" i="3" s="1"/>
  <c r="L165" i="3"/>
  <c r="N165" i="3" s="1"/>
  <c r="L164" i="3"/>
  <c r="N164" i="3" s="1"/>
  <c r="L157" i="3"/>
  <c r="M156" i="3"/>
  <c r="M157" i="3" s="1"/>
  <c r="L156" i="3"/>
  <c r="N156" i="3" s="1"/>
  <c r="L155" i="3"/>
  <c r="N155" i="3" s="1"/>
  <c r="L154" i="3"/>
  <c r="N154" i="3" s="1"/>
  <c r="L143" i="3"/>
  <c r="M142" i="3"/>
  <c r="M143" i="3" s="1"/>
  <c r="L142" i="3"/>
  <c r="N142" i="3" s="1"/>
  <c r="L141" i="3"/>
  <c r="N141" i="3" s="1"/>
  <c r="N147" i="3" s="1"/>
  <c r="L140" i="3"/>
  <c r="N140" i="3" s="1"/>
  <c r="N146" i="3" s="1"/>
  <c r="L131" i="3"/>
  <c r="N131" i="3" s="1"/>
  <c r="L130" i="3"/>
  <c r="N130" i="3" s="1"/>
  <c r="N134" i="3" s="1"/>
  <c r="L129" i="3"/>
  <c r="N129" i="3" s="1"/>
  <c r="L128" i="3"/>
  <c r="N128" i="3" s="1"/>
  <c r="L120" i="3"/>
  <c r="N120" i="3" s="1"/>
  <c r="L119" i="3"/>
  <c r="N119" i="3" s="1"/>
  <c r="L118" i="3"/>
  <c r="N118" i="3" s="1"/>
  <c r="L117" i="3"/>
  <c r="N117" i="3" s="1"/>
  <c r="L110" i="3"/>
  <c r="N110" i="3" s="1"/>
  <c r="L109" i="3"/>
  <c r="N109" i="3" s="1"/>
  <c r="L108" i="3"/>
  <c r="N108" i="3" s="1"/>
  <c r="L107" i="3"/>
  <c r="N107" i="3" s="1"/>
  <c r="L100" i="3"/>
  <c r="N100" i="3" s="1"/>
  <c r="L99" i="3"/>
  <c r="N99" i="3" s="1"/>
  <c r="L98" i="3"/>
  <c r="N98" i="3" s="1"/>
  <c r="L97" i="3"/>
  <c r="N97" i="3" s="1"/>
  <c r="L90" i="3"/>
  <c r="N90" i="3" s="1"/>
  <c r="L89" i="3"/>
  <c r="N89" i="3" s="1"/>
  <c r="L88" i="3"/>
  <c r="N88" i="3" s="1"/>
  <c r="L87" i="3"/>
  <c r="N87" i="3" s="1"/>
  <c r="L80" i="3"/>
  <c r="N80" i="3" s="1"/>
  <c r="L79" i="3"/>
  <c r="N79" i="3" s="1"/>
  <c r="L78" i="3"/>
  <c r="N78" i="3" s="1"/>
  <c r="L77" i="3"/>
  <c r="N77" i="3" s="1"/>
  <c r="L70" i="3"/>
  <c r="N70" i="3" s="1"/>
  <c r="L69" i="3"/>
  <c r="N69" i="3" s="1"/>
  <c r="L68" i="3"/>
  <c r="N68" i="3" s="1"/>
  <c r="L67" i="3"/>
  <c r="N67" i="3" s="1"/>
  <c r="L54" i="3"/>
  <c r="N54" i="3" s="1"/>
  <c r="L53" i="3"/>
  <c r="N53" i="3" s="1"/>
  <c r="L52" i="3"/>
  <c r="N52" i="3" s="1"/>
  <c r="L51" i="3"/>
  <c r="N51" i="3" s="1"/>
  <c r="M44" i="3"/>
  <c r="L44" i="3"/>
  <c r="N44" i="3" s="1"/>
  <c r="M43" i="3"/>
  <c r="L43" i="3"/>
  <c r="N43" i="3" s="1"/>
  <c r="L42" i="3"/>
  <c r="N42" i="3" s="1"/>
  <c r="M41" i="3"/>
  <c r="L41" i="3"/>
  <c r="N41" i="3" s="1"/>
  <c r="L34" i="3"/>
  <c r="L33" i="3"/>
  <c r="L32" i="3"/>
  <c r="N32" i="3" s="1"/>
  <c r="M31" i="3"/>
  <c r="L31" i="3"/>
  <c r="L23" i="3"/>
  <c r="N23" i="3" s="1"/>
  <c r="L22" i="3"/>
  <c r="L21" i="3"/>
  <c r="N21" i="3" s="1"/>
  <c r="M20" i="3"/>
  <c r="M23" i="3" s="1"/>
  <c r="L20" i="3"/>
  <c r="N20" i="3" s="1"/>
  <c r="H13" i="3"/>
  <c r="J13" i="3" s="1"/>
  <c r="M11" i="3"/>
  <c r="L11" i="3"/>
  <c r="M10" i="3"/>
  <c r="L10" i="3"/>
  <c r="L9" i="3"/>
  <c r="N9" i="3" s="1"/>
  <c r="L8" i="3"/>
  <c r="N8" i="3" s="1"/>
  <c r="L265" i="2"/>
  <c r="K265" i="2"/>
  <c r="M257" i="2"/>
  <c r="M259" i="2" s="1"/>
  <c r="K257" i="2"/>
  <c r="M251" i="2"/>
  <c r="K249" i="2"/>
  <c r="M249" i="2" s="1"/>
  <c r="L241" i="2"/>
  <c r="K241" i="2"/>
  <c r="M233" i="2"/>
  <c r="M235" i="2" s="1"/>
  <c r="K233" i="2"/>
  <c r="M227" i="2"/>
  <c r="K225" i="2"/>
  <c r="M225" i="2" s="1"/>
  <c r="M217" i="2"/>
  <c r="M219" i="2" s="1"/>
  <c r="K217" i="2"/>
  <c r="M210" i="2"/>
  <c r="K208" i="2"/>
  <c r="M208" i="2" s="1"/>
  <c r="M200" i="2"/>
  <c r="M202" i="2" s="1"/>
  <c r="K200" i="2"/>
  <c r="M192" i="2"/>
  <c r="K190" i="2"/>
  <c r="M190" i="2" s="1"/>
  <c r="M181" i="2"/>
  <c r="M183" i="2" s="1"/>
  <c r="K181" i="2"/>
  <c r="M173" i="2"/>
  <c r="K171" i="2"/>
  <c r="M171" i="2" s="1"/>
  <c r="M161" i="2"/>
  <c r="M163" i="2" s="1"/>
  <c r="K161" i="2"/>
  <c r="L151" i="2"/>
  <c r="K151" i="2"/>
  <c r="Z141" i="2"/>
  <c r="K141" i="2"/>
  <c r="M141" i="2" s="1"/>
  <c r="M143" i="2" s="1"/>
  <c r="Z131" i="2"/>
  <c r="M131" i="2"/>
  <c r="M133" i="2" s="1"/>
  <c r="K131" i="2"/>
  <c r="L121" i="2"/>
  <c r="K121" i="2"/>
  <c r="M113" i="2"/>
  <c r="K111" i="2"/>
  <c r="M111" i="2" s="1"/>
  <c r="M101" i="2"/>
  <c r="M103" i="2" s="1"/>
  <c r="K101" i="2"/>
  <c r="M93" i="2"/>
  <c r="K91" i="2"/>
  <c r="M91" i="2" s="1"/>
  <c r="M81" i="2"/>
  <c r="M83" i="2" s="1"/>
  <c r="K81" i="2"/>
  <c r="M73" i="2"/>
  <c r="K71" i="2"/>
  <c r="M71" i="2" s="1"/>
  <c r="M61" i="2"/>
  <c r="M63" i="2" s="1"/>
  <c r="K61" i="2"/>
  <c r="L51" i="2"/>
  <c r="K51" i="2"/>
  <c r="K42" i="2"/>
  <c r="M42" i="2" s="1"/>
  <c r="M44" i="2" s="1"/>
  <c r="K33" i="2"/>
  <c r="M33" i="2" s="1"/>
  <c r="M35" i="2" s="1"/>
  <c r="K24" i="2"/>
  <c r="M24" i="2" s="1"/>
  <c r="M26" i="2" s="1"/>
  <c r="M15" i="2"/>
  <c r="M17" i="2" s="1"/>
  <c r="K15" i="2"/>
  <c r="K7" i="2"/>
  <c r="M7" i="2" s="1"/>
  <c r="M9" i="2" s="1"/>
  <c r="R89" i="1"/>
  <c r="G86" i="1"/>
  <c r="AC85" i="1"/>
  <c r="AB85" i="1"/>
  <c r="AA85" i="1"/>
  <c r="Z85" i="1"/>
  <c r="AC84" i="1"/>
  <c r="AB84" i="1"/>
  <c r="AA84" i="1"/>
  <c r="Z84" i="1"/>
  <c r="Y84" i="1"/>
  <c r="X84" i="1"/>
  <c r="W84" i="1"/>
  <c r="AC83" i="1"/>
  <c r="AB83" i="1"/>
  <c r="AA83" i="1"/>
  <c r="Z83" i="1"/>
  <c r="Y83" i="1"/>
  <c r="X83" i="1"/>
  <c r="W83" i="1"/>
  <c r="AE82" i="1"/>
  <c r="AC82" i="1"/>
  <c r="AB82" i="1"/>
  <c r="AA82" i="1"/>
  <c r="Z82" i="1"/>
  <c r="Y82" i="1"/>
  <c r="X82" i="1"/>
  <c r="W82" i="1"/>
  <c r="AE81" i="1"/>
  <c r="AC81" i="1"/>
  <c r="AB81" i="1"/>
  <c r="AA81" i="1"/>
  <c r="Z81" i="1"/>
  <c r="Y81" i="1"/>
  <c r="X81" i="1"/>
  <c r="W81" i="1"/>
  <c r="AC80" i="1"/>
  <c r="AB80" i="1"/>
  <c r="AA80" i="1"/>
  <c r="Z80" i="1"/>
  <c r="Y80" i="1"/>
  <c r="X80" i="1"/>
  <c r="W80" i="1"/>
  <c r="AB79" i="1"/>
  <c r="AA79" i="1"/>
  <c r="Z79" i="1"/>
  <c r="AE78" i="1"/>
  <c r="AC78" i="1"/>
  <c r="AB78" i="1"/>
  <c r="AA78" i="1"/>
  <c r="Z78" i="1"/>
  <c r="Y78" i="1"/>
  <c r="X78" i="1"/>
  <c r="W78" i="1"/>
  <c r="AC77" i="1"/>
  <c r="AB77" i="1"/>
  <c r="AA77" i="1"/>
  <c r="Z77" i="1"/>
  <c r="Y77" i="1"/>
  <c r="X77" i="1"/>
  <c r="W77" i="1"/>
  <c r="AC76" i="1"/>
  <c r="AB76" i="1"/>
  <c r="AA76" i="1"/>
  <c r="Z76" i="1"/>
  <c r="Y76" i="1"/>
  <c r="X76" i="1"/>
  <c r="W76" i="1"/>
  <c r="AB75" i="1"/>
  <c r="AA75" i="1"/>
  <c r="Z75" i="1"/>
  <c r="Y75" i="1"/>
  <c r="X75" i="1"/>
  <c r="W75" i="1"/>
  <c r="AC74" i="1"/>
  <c r="AB74" i="1"/>
  <c r="AA74" i="1"/>
  <c r="Z74" i="1"/>
  <c r="Y74" i="1"/>
  <c r="X74" i="1"/>
  <c r="W74" i="1"/>
  <c r="AC73" i="1"/>
  <c r="AB73" i="1"/>
  <c r="AA73" i="1"/>
  <c r="Z73" i="1"/>
  <c r="Y73" i="1"/>
  <c r="X73" i="1"/>
  <c r="W73" i="1"/>
  <c r="AC72" i="1"/>
  <c r="AB72" i="1"/>
  <c r="AA72" i="1"/>
  <c r="Z72" i="1"/>
  <c r="Y72" i="1"/>
  <c r="X72" i="1"/>
  <c r="W72" i="1"/>
  <c r="AC71" i="1"/>
  <c r="AB71" i="1"/>
  <c r="AE70" i="1"/>
  <c r="AC70" i="1"/>
  <c r="AB70" i="1"/>
  <c r="AA70" i="1"/>
  <c r="Z70" i="1"/>
  <c r="Y70" i="1"/>
  <c r="X70" i="1"/>
  <c r="W70" i="1"/>
  <c r="AC69" i="1"/>
  <c r="AB69" i="1"/>
  <c r="AA69" i="1"/>
  <c r="Z69" i="1"/>
  <c r="Y69" i="1"/>
  <c r="X69" i="1"/>
  <c r="W69" i="1"/>
  <c r="AC68" i="1"/>
  <c r="AB68" i="1"/>
  <c r="AA68" i="1"/>
  <c r="Z68" i="1"/>
  <c r="Y68" i="1"/>
  <c r="X68" i="1"/>
  <c r="W68" i="1"/>
  <c r="AC67" i="1"/>
  <c r="AB67" i="1"/>
  <c r="AA67" i="1"/>
  <c r="Z67" i="1"/>
  <c r="Y67" i="1"/>
  <c r="X67" i="1"/>
  <c r="W67" i="1"/>
  <c r="AC66" i="1"/>
  <c r="AB66" i="1"/>
  <c r="AA66" i="1"/>
  <c r="Z66" i="1"/>
  <c r="Y66" i="1"/>
  <c r="X66" i="1"/>
  <c r="W66" i="1"/>
  <c r="AE65" i="1"/>
  <c r="AC65" i="1"/>
  <c r="AB65" i="1"/>
  <c r="AA65" i="1"/>
  <c r="Z65" i="1"/>
  <c r="Y65" i="1"/>
  <c r="X65" i="1"/>
  <c r="W65" i="1"/>
  <c r="AC64" i="1"/>
  <c r="AB64" i="1"/>
  <c r="AA64" i="1"/>
  <c r="Z64" i="1"/>
  <c r="Y64" i="1"/>
  <c r="X64" i="1"/>
  <c r="W64" i="1"/>
  <c r="AC63" i="1"/>
  <c r="AB63" i="1"/>
  <c r="AA63" i="1"/>
  <c r="Z63" i="1"/>
  <c r="Y63" i="1"/>
  <c r="X63" i="1"/>
  <c r="W63" i="1"/>
  <c r="AC62" i="1"/>
  <c r="AB62" i="1"/>
  <c r="AA62" i="1"/>
  <c r="Z62" i="1"/>
  <c r="Y62" i="1"/>
  <c r="X62" i="1"/>
  <c r="W62" i="1"/>
  <c r="AC61" i="1"/>
  <c r="AB61" i="1"/>
  <c r="AA61" i="1"/>
  <c r="Z61" i="1"/>
  <c r="Y61" i="1"/>
  <c r="X61" i="1"/>
  <c r="W61" i="1"/>
  <c r="AC59" i="1"/>
  <c r="AB59" i="1"/>
  <c r="AA59" i="1"/>
  <c r="Z59" i="1"/>
  <c r="Y59" i="1"/>
  <c r="X59" i="1"/>
  <c r="W59" i="1"/>
  <c r="AC58" i="1"/>
  <c r="AB58" i="1"/>
  <c r="AA58" i="1"/>
  <c r="Z58" i="1"/>
  <c r="Y58" i="1"/>
  <c r="X58" i="1"/>
  <c r="W58" i="1"/>
  <c r="AC57" i="1"/>
  <c r="AB57" i="1"/>
  <c r="AA57" i="1"/>
  <c r="Z57" i="1"/>
  <c r="Y57" i="1"/>
  <c r="X57" i="1"/>
  <c r="AC56" i="1"/>
  <c r="AB56" i="1"/>
  <c r="AA56" i="1"/>
  <c r="Z56" i="1"/>
  <c r="Y56" i="1"/>
  <c r="X56" i="1"/>
  <c r="W56" i="1"/>
  <c r="AC55" i="1"/>
  <c r="AB55" i="1"/>
  <c r="AC54" i="1"/>
  <c r="AB54" i="1"/>
  <c r="AA54" i="1"/>
  <c r="Z54" i="1"/>
  <c r="Y54" i="1"/>
  <c r="X54" i="1"/>
  <c r="W54" i="1"/>
  <c r="AE53" i="1"/>
  <c r="AC53" i="1"/>
  <c r="AB53" i="1"/>
  <c r="AA53" i="1"/>
  <c r="Z53" i="1"/>
  <c r="Y53" i="1"/>
  <c r="X53" i="1"/>
  <c r="W53" i="1"/>
  <c r="AE52" i="1"/>
  <c r="AC52" i="1"/>
  <c r="AB52" i="1"/>
  <c r="AA52" i="1"/>
  <c r="Z52" i="1"/>
  <c r="Y52" i="1"/>
  <c r="X52" i="1"/>
  <c r="W52" i="1"/>
  <c r="AE51" i="1"/>
  <c r="AC51" i="1"/>
  <c r="AB51" i="1"/>
  <c r="AA51" i="1"/>
  <c r="Z51" i="1"/>
  <c r="Y51" i="1"/>
  <c r="X51" i="1"/>
  <c r="W51" i="1"/>
  <c r="AE50" i="1"/>
  <c r="AC50" i="1"/>
  <c r="AB50" i="1"/>
  <c r="AA50" i="1"/>
  <c r="Z50" i="1"/>
  <c r="Y50" i="1"/>
  <c r="X50" i="1"/>
  <c r="W50" i="1"/>
  <c r="AE49" i="1"/>
  <c r="AC49" i="1"/>
  <c r="AB49" i="1"/>
  <c r="AA49" i="1"/>
  <c r="Z49" i="1"/>
  <c r="Y49" i="1"/>
  <c r="X49" i="1"/>
  <c r="W49" i="1"/>
  <c r="AC48" i="1"/>
  <c r="AB48" i="1"/>
  <c r="AA48" i="1"/>
  <c r="Z48" i="1"/>
  <c r="Y48" i="1"/>
  <c r="X48" i="1"/>
  <c r="W48" i="1"/>
  <c r="AC47" i="1"/>
  <c r="AB47" i="1"/>
  <c r="AA47" i="1"/>
  <c r="Z47" i="1"/>
  <c r="Y47" i="1"/>
  <c r="X47" i="1"/>
  <c r="W47" i="1"/>
  <c r="AC46" i="1"/>
  <c r="AB46" i="1"/>
  <c r="AA46" i="1"/>
  <c r="Z46" i="1"/>
  <c r="Y46" i="1"/>
  <c r="X46" i="1"/>
  <c r="W46" i="1"/>
  <c r="AC45" i="1"/>
  <c r="AB45" i="1"/>
  <c r="AA45" i="1"/>
  <c r="Z45" i="1"/>
  <c r="Y45" i="1"/>
  <c r="X45" i="1"/>
  <c r="W45" i="1"/>
  <c r="AC44" i="1"/>
  <c r="AB44" i="1"/>
  <c r="AA44" i="1"/>
  <c r="Z44" i="1"/>
  <c r="Y44" i="1"/>
  <c r="X44" i="1"/>
  <c r="W44" i="1"/>
  <c r="AC43" i="1"/>
  <c r="AB43" i="1"/>
  <c r="AA43" i="1"/>
  <c r="Z43" i="1"/>
  <c r="Y43" i="1"/>
  <c r="X43" i="1"/>
  <c r="W43" i="1"/>
  <c r="AC42" i="1"/>
  <c r="AB42" i="1"/>
  <c r="AA42" i="1"/>
  <c r="Z42" i="1"/>
  <c r="Y42" i="1"/>
  <c r="X42" i="1"/>
  <c r="W42" i="1"/>
  <c r="AC41" i="1"/>
  <c r="AB41" i="1"/>
  <c r="AA41" i="1"/>
  <c r="Z41" i="1"/>
  <c r="Y41" i="1"/>
  <c r="X41" i="1"/>
  <c r="W41" i="1"/>
  <c r="AC40" i="1"/>
  <c r="AB40" i="1"/>
  <c r="AA40" i="1"/>
  <c r="Z40" i="1"/>
  <c r="Y40" i="1"/>
  <c r="X40" i="1"/>
  <c r="W40" i="1"/>
  <c r="AC39" i="1"/>
  <c r="AB39" i="1"/>
  <c r="AA39" i="1"/>
  <c r="Z39" i="1"/>
  <c r="Y39" i="1"/>
  <c r="X39" i="1"/>
  <c r="W39" i="1"/>
  <c r="AC38" i="1"/>
  <c r="AB38" i="1"/>
  <c r="AA38" i="1"/>
  <c r="Z38" i="1"/>
  <c r="Y38" i="1"/>
  <c r="X38" i="1"/>
  <c r="W38" i="1"/>
  <c r="AE37" i="1"/>
  <c r="AF37" i="1" s="1"/>
  <c r="AC37" i="1"/>
  <c r="AB37" i="1"/>
  <c r="AA37" i="1"/>
  <c r="Z37" i="1"/>
  <c r="Y37" i="1"/>
  <c r="X37" i="1"/>
  <c r="W37" i="1"/>
  <c r="AE36" i="1"/>
  <c r="AF36" i="1" s="1"/>
  <c r="AC36" i="1"/>
  <c r="AB36" i="1"/>
  <c r="AA36" i="1"/>
  <c r="Z36" i="1"/>
  <c r="Y36" i="1"/>
  <c r="X36" i="1"/>
  <c r="W36" i="1"/>
  <c r="AE35" i="1"/>
  <c r="AF35" i="1" s="1"/>
  <c r="AC35" i="1"/>
  <c r="AB35" i="1"/>
  <c r="AA35" i="1"/>
  <c r="Z35" i="1"/>
  <c r="Y35" i="1"/>
  <c r="X35" i="1"/>
  <c r="W35" i="1"/>
  <c r="AE34" i="1"/>
  <c r="AF34" i="1" s="1"/>
  <c r="AC34" i="1"/>
  <c r="AB34" i="1"/>
  <c r="AA34" i="1"/>
  <c r="Z34" i="1"/>
  <c r="Y34" i="1"/>
  <c r="X34" i="1"/>
  <c r="W34" i="1"/>
  <c r="AE33" i="1"/>
  <c r="AF33" i="1" s="1"/>
  <c r="AC33" i="1"/>
  <c r="AB33" i="1"/>
  <c r="AA33" i="1"/>
  <c r="Z33" i="1"/>
  <c r="Y33" i="1"/>
  <c r="X33" i="1"/>
  <c r="W33" i="1"/>
  <c r="AC32" i="1"/>
  <c r="AB32" i="1"/>
  <c r="AA32" i="1"/>
  <c r="Z32" i="1"/>
  <c r="Y32" i="1"/>
  <c r="X32" i="1"/>
  <c r="W32" i="1"/>
  <c r="AC31" i="1"/>
  <c r="AB31" i="1"/>
  <c r="AA31" i="1"/>
  <c r="Z31" i="1"/>
  <c r="Y31" i="1"/>
  <c r="X31" i="1"/>
  <c r="W31" i="1"/>
  <c r="AC30" i="1"/>
  <c r="AB30" i="1"/>
  <c r="AA30" i="1"/>
  <c r="Z30" i="1"/>
  <c r="Y30" i="1"/>
  <c r="X30" i="1"/>
  <c r="W30" i="1"/>
  <c r="AE29" i="1"/>
  <c r="AC29" i="1"/>
  <c r="AB29" i="1"/>
  <c r="AA29" i="1"/>
  <c r="Z29" i="1"/>
  <c r="Y29" i="1"/>
  <c r="X29" i="1"/>
  <c r="W29" i="1"/>
  <c r="AE28" i="1"/>
  <c r="AC28" i="1"/>
  <c r="AB28" i="1"/>
  <c r="AA28" i="1"/>
  <c r="Z28" i="1"/>
  <c r="Y28" i="1"/>
  <c r="X28" i="1"/>
  <c r="W28" i="1"/>
  <c r="AC27" i="1"/>
  <c r="AB27" i="1"/>
  <c r="AA27" i="1"/>
  <c r="Z27" i="1"/>
  <c r="Y27" i="1"/>
  <c r="X27" i="1"/>
  <c r="W27" i="1"/>
  <c r="AC26" i="1"/>
  <c r="AB26" i="1"/>
  <c r="AA26" i="1"/>
  <c r="Z26" i="1"/>
  <c r="Y26" i="1"/>
  <c r="X26" i="1"/>
  <c r="W26" i="1"/>
  <c r="AE25" i="1"/>
  <c r="AC25" i="1"/>
  <c r="AB25" i="1"/>
  <c r="AA25" i="1"/>
  <c r="Z25" i="1"/>
  <c r="Y25" i="1"/>
  <c r="X25" i="1"/>
  <c r="W25" i="1"/>
  <c r="AC24" i="1"/>
  <c r="AB24" i="1"/>
  <c r="AA24" i="1"/>
  <c r="X24" i="1"/>
  <c r="W24" i="1"/>
  <c r="AC23" i="1"/>
  <c r="AB23" i="1"/>
  <c r="AA23" i="1"/>
  <c r="Z23" i="1"/>
  <c r="Y23" i="1"/>
  <c r="X23" i="1"/>
  <c r="W23" i="1"/>
  <c r="AC22" i="1"/>
  <c r="AB22" i="1"/>
  <c r="AA22" i="1"/>
  <c r="Z22" i="1"/>
  <c r="Y22" i="1"/>
  <c r="X22" i="1"/>
  <c r="W22" i="1"/>
  <c r="AE21" i="1"/>
  <c r="AE22" i="1" s="1"/>
  <c r="AC21" i="1"/>
  <c r="AB21" i="1"/>
  <c r="AA21" i="1"/>
  <c r="Z21" i="1"/>
  <c r="Y21" i="1"/>
  <c r="X21" i="1"/>
  <c r="W21" i="1"/>
  <c r="AE20" i="1"/>
  <c r="AC20" i="1"/>
  <c r="AB20" i="1"/>
  <c r="AA20" i="1"/>
  <c r="Z20" i="1"/>
  <c r="Y20" i="1"/>
  <c r="X20" i="1"/>
  <c r="W20" i="1"/>
  <c r="AC19" i="1"/>
  <c r="AE18" i="1"/>
  <c r="M174" i="4" s="1"/>
  <c r="N174" i="4" s="1"/>
  <c r="N175" i="4" s="1"/>
  <c r="AC18" i="1"/>
  <c r="AB18" i="1"/>
  <c r="AA18" i="1"/>
  <c r="Z18" i="1"/>
  <c r="Y18" i="1"/>
  <c r="X18" i="1"/>
  <c r="W18" i="1"/>
  <c r="AC17" i="1"/>
  <c r="AB17" i="1"/>
  <c r="AA17" i="1"/>
  <c r="Z17" i="1"/>
  <c r="Y17" i="1"/>
  <c r="X17" i="1"/>
  <c r="W17" i="1"/>
  <c r="AE16" i="1"/>
  <c r="AE19" i="1" s="1"/>
  <c r="AC16" i="1"/>
  <c r="AB16" i="1"/>
  <c r="AA16" i="1"/>
  <c r="Z16" i="1"/>
  <c r="Y16" i="1"/>
  <c r="X16" i="1"/>
  <c r="W16" i="1"/>
  <c r="AC15" i="1"/>
  <c r="AB15" i="1"/>
  <c r="AA15" i="1"/>
  <c r="Z15" i="1"/>
  <c r="Y15" i="1"/>
  <c r="X15" i="1"/>
  <c r="W15" i="1"/>
  <c r="AC14" i="1"/>
  <c r="AB14" i="1"/>
  <c r="AA14" i="1"/>
  <c r="Z14" i="1"/>
  <c r="Y14" i="1"/>
  <c r="AC13" i="1"/>
  <c r="AB13" i="1"/>
  <c r="AA13" i="1"/>
  <c r="Z13" i="1"/>
  <c r="Y13" i="1"/>
  <c r="X13" i="1"/>
  <c r="W13" i="1"/>
  <c r="AC12" i="1"/>
  <c r="AB12" i="1"/>
  <c r="AA12" i="1"/>
  <c r="Z12" i="1"/>
  <c r="Y12" i="1"/>
  <c r="X12" i="1"/>
  <c r="W12" i="1"/>
  <c r="AC11" i="1"/>
  <c r="AB11" i="1"/>
  <c r="AA11" i="1"/>
  <c r="Z11" i="1"/>
  <c r="Y11" i="1"/>
  <c r="X11" i="1"/>
  <c r="W11" i="1"/>
  <c r="AC10" i="1"/>
  <c r="AB10" i="1"/>
  <c r="AA10" i="1"/>
  <c r="Z10" i="1"/>
  <c r="Y10" i="1"/>
  <c r="X10" i="1"/>
  <c r="W10" i="1"/>
  <c r="AC9" i="1"/>
  <c r="AB9" i="1"/>
  <c r="AA9" i="1"/>
  <c r="Z9" i="1"/>
  <c r="Y9" i="1"/>
  <c r="X9" i="1"/>
  <c r="W9" i="1"/>
  <c r="AC8" i="1"/>
  <c r="AB8" i="1"/>
  <c r="AA8" i="1"/>
  <c r="Z8" i="1"/>
  <c r="Y8" i="1"/>
  <c r="X8" i="1"/>
  <c r="W8" i="1"/>
  <c r="AC7" i="1"/>
  <c r="AB7" i="1"/>
  <c r="AA7" i="1"/>
  <c r="Z7" i="1"/>
  <c r="Y7" i="1"/>
  <c r="X7" i="1"/>
  <c r="W7" i="1"/>
  <c r="AC6" i="1"/>
  <c r="AB6" i="1"/>
  <c r="AA6" i="1"/>
  <c r="Z6" i="1"/>
  <c r="Y6" i="1"/>
  <c r="X6" i="1"/>
  <c r="W6" i="1"/>
  <c r="AC5" i="1"/>
  <c r="AB5" i="1"/>
  <c r="AA5" i="1"/>
  <c r="Z5" i="1"/>
  <c r="Y5" i="1"/>
  <c r="X5" i="1"/>
  <c r="W5" i="1"/>
  <c r="AC4" i="1"/>
  <c r="AB4" i="1"/>
  <c r="AA4" i="1"/>
  <c r="Z4" i="1"/>
  <c r="Y4" i="1"/>
  <c r="X4" i="1"/>
  <c r="W4" i="1"/>
  <c r="AB3" i="1"/>
  <c r="AA3" i="1"/>
  <c r="Z3" i="1"/>
  <c r="Y3" i="1"/>
  <c r="X3" i="1"/>
  <c r="W3" i="1"/>
  <c r="N216" i="3" l="1"/>
  <c r="Q121" i="3"/>
  <c r="N145" i="3"/>
  <c r="P145" i="3" s="1"/>
  <c r="N143" i="3"/>
  <c r="N157" i="3"/>
  <c r="M51" i="2"/>
  <c r="M53" i="2" s="1"/>
  <c r="M151" i="2"/>
  <c r="M153" i="2" s="1"/>
  <c r="N10" i="3"/>
  <c r="N11" i="3"/>
  <c r="M22" i="3"/>
  <c r="N22" i="3" s="1"/>
  <c r="N31" i="3"/>
  <c r="N177" i="3"/>
  <c r="N198" i="3"/>
  <c r="N218" i="3"/>
  <c r="N238" i="3"/>
  <c r="M259" i="3"/>
  <c r="N259" i="3" s="1"/>
  <c r="M258" i="3"/>
  <c r="N257" i="3"/>
  <c r="N206" i="3"/>
  <c r="N207" i="3"/>
  <c r="N208" i="3"/>
  <c r="N226" i="3"/>
  <c r="N227" i="3"/>
  <c r="N228" i="3"/>
  <c r="N255" i="3"/>
  <c r="N362" i="3"/>
  <c r="N374" i="3"/>
  <c r="N392" i="3"/>
  <c r="N9" i="5"/>
  <c r="N10" i="5" s="1"/>
  <c r="N17" i="5"/>
  <c r="N26" i="5"/>
  <c r="N45" i="5"/>
  <c r="N63" i="5"/>
  <c r="N65" i="5" s="1"/>
  <c r="N73" i="5"/>
  <c r="N75" i="5" s="1"/>
  <c r="N83" i="5"/>
  <c r="N85" i="5" s="1"/>
  <c r="N93" i="5"/>
  <c r="N95" i="5" s="1"/>
  <c r="N105" i="5"/>
  <c r="N123" i="5"/>
  <c r="N125" i="5" s="1"/>
  <c r="N132" i="5"/>
  <c r="N134" i="5" s="1"/>
  <c r="N144" i="5"/>
  <c r="N160" i="5"/>
  <c r="N162" i="5" s="1"/>
  <c r="N170" i="5"/>
  <c r="N172" i="5" s="1"/>
  <c r="N181" i="5"/>
  <c r="N197" i="5"/>
  <c r="N199" i="5" s="1"/>
  <c r="N206" i="5"/>
  <c r="AF65" i="1"/>
  <c r="AF53" i="1"/>
  <c r="AF51" i="1"/>
  <c r="AF29" i="1"/>
  <c r="AF25" i="1"/>
  <c r="AF23" i="1"/>
  <c r="M405" i="3"/>
  <c r="N403" i="3"/>
  <c r="F57" i="3"/>
  <c r="F58" i="3"/>
  <c r="M121" i="2"/>
  <c r="M123" i="2" s="1"/>
  <c r="M33" i="3"/>
  <c r="M34" i="3"/>
  <c r="N34" i="3" s="1"/>
  <c r="N33" i="3"/>
  <c r="AF82" i="1"/>
  <c r="AF80" i="1"/>
  <c r="AF21" i="1"/>
  <c r="AF19" i="1"/>
  <c r="M241" i="2"/>
  <c r="M243" i="2" s="1"/>
  <c r="M265" i="2"/>
  <c r="M267" i="2" s="1"/>
  <c r="N258" i="3"/>
  <c r="N268" i="3"/>
  <c r="N288" i="3"/>
  <c r="N309" i="3"/>
  <c r="N331" i="3"/>
  <c r="N353" i="3"/>
  <c r="N373" i="3"/>
  <c r="N384" i="3"/>
  <c r="AF81" i="1"/>
  <c r="AF78" i="1"/>
  <c r="AF74" i="1"/>
  <c r="AF70" i="1"/>
  <c r="AF52" i="1"/>
  <c r="AF28" i="1"/>
  <c r="AF22" i="1"/>
  <c r="AF20" i="1"/>
  <c r="AF18" i="1"/>
  <c r="AF16" i="1"/>
  <c r="M394" i="3"/>
  <c r="N205" i="5"/>
  <c r="N208" i="5" s="1"/>
  <c r="AE38" i="1"/>
  <c r="AF38" i="1" s="1"/>
  <c r="AF86" i="1" l="1"/>
  <c r="F59" i="3"/>
  <c r="M406" i="3"/>
  <c r="N406" i="3" s="1"/>
  <c r="N405" i="3"/>
  <c r="F60" i="3"/>
  <c r="G57" i="3"/>
  <c r="M395" i="3"/>
  <c r="N395" i="3" s="1"/>
  <c r="N394" i="3"/>
</calcChain>
</file>

<file path=xl/comments1.xml><?xml version="1.0" encoding="utf-8"?>
<comments xmlns="http://schemas.openxmlformats.org/spreadsheetml/2006/main">
  <authors>
    <author>Плиг Роман Миколайович</author>
    <author>Поліщук Володимир Миколайович</author>
  </authors>
  <commentList>
    <comment ref="J17" authorId="0" shapeId="0">
      <text>
        <r>
          <rPr>
            <b/>
            <sz val="9"/>
            <rFont val="Tahoma"/>
            <family val="2"/>
            <charset val="204"/>
          </rPr>
          <t>Плиг Роман Миколайович:</t>
        </r>
        <r>
          <rPr>
            <sz val="9"/>
            <rFont val="Tahoma"/>
            <family val="2"/>
            <charset val="204"/>
          </rPr>
          <t xml:space="preserve">
21.03. дала добро
21.04. в Елмі</t>
        </r>
      </text>
    </comment>
    <comment ref="R74" authorId="1" shapeId="0">
      <text>
        <r>
          <rPr>
            <b/>
            <sz val="9"/>
            <rFont val="Tahoma"/>
            <family val="2"/>
            <charset val="204"/>
          </rPr>
          <t>Поліщук Володимир Миколайович:</t>
        </r>
        <r>
          <rPr>
            <sz val="9"/>
            <rFont val="Tahoma"/>
            <family val="2"/>
            <charset val="204"/>
          </rPr>
          <t xml:space="preserve">
Донарахувати  в листопаді                ПОПЕРЕДНІ 33891,85 ПОТОЧНІ 34430,17=538,32*11,02372=5934,28 грн.</t>
        </r>
      </text>
    </comment>
    <comment ref="AF74" authorId="1" shapeId="0">
      <text>
        <r>
          <rPr>
            <b/>
            <sz val="9"/>
            <rFont val="Tahoma"/>
            <family val="2"/>
            <charset val="204"/>
          </rPr>
          <t>Поліщук Володимир Миколайович:</t>
        </r>
        <r>
          <rPr>
            <sz val="9"/>
            <rFont val="Tahoma"/>
            <family val="2"/>
            <charset val="204"/>
          </rPr>
          <t xml:space="preserve">
Донарахування жа жовтень</t>
        </r>
      </text>
    </comment>
    <comment ref="R75" authorId="1" shapeId="0">
      <text>
        <r>
          <rPr>
            <b/>
            <sz val="9"/>
            <rFont val="Tahoma"/>
            <family val="2"/>
            <charset val="204"/>
          </rPr>
          <t>Поліщук Володимир Миколайович:</t>
        </r>
        <r>
          <rPr>
            <sz val="9"/>
            <rFont val="Tahoma"/>
            <family val="2"/>
            <charset val="204"/>
          </rPr>
          <t xml:space="preserve">
Донарахувати  в листопаді                ПОПЕРЕДНІ 33891,85 ПОТОЧНІ 34430,17=538,32*11,02372=5934,28 грн.</t>
        </r>
      </text>
    </comment>
  </commentList>
</comments>
</file>

<file path=xl/comments2.xml><?xml version="1.0" encoding="utf-8"?>
<comments xmlns="http://schemas.openxmlformats.org/spreadsheetml/2006/main">
  <authors>
    <author>Юртаєв Юрій Олександрович</author>
    <author>Плиг Роман Миколайович</author>
    <author>Пшеничний Олександр Станіславович</author>
  </authors>
  <commentList>
    <comment ref="J9" authorId="0" shapeId="0">
      <text>
        <r>
          <rPr>
            <b/>
            <sz val="9"/>
            <rFont val="Tahoma"/>
            <family val="2"/>
            <charset val="204"/>
          </rPr>
          <t>Юртаєв Юрій Олександрович:</t>
        </r>
        <r>
          <rPr>
            <sz val="9"/>
            <rFont val="Tahoma"/>
            <family val="2"/>
            <charset val="204"/>
          </rPr>
          <t xml:space="preserve">
1468,3</t>
        </r>
      </text>
    </comment>
    <comment ref="H21" authorId="0" shapeId="0">
      <text>
        <r>
          <rPr>
            <b/>
            <sz val="9"/>
            <rFont val="Tahoma"/>
            <family val="2"/>
            <charset val="204"/>
          </rPr>
          <t>Юртаєв Юрій Олександрович:</t>
        </r>
        <r>
          <rPr>
            <sz val="9"/>
            <rFont val="Tahoma"/>
            <family val="2"/>
            <charset val="204"/>
          </rPr>
          <t xml:space="preserve">
1468,3</t>
        </r>
      </text>
    </comment>
    <comment ref="Q121" authorId="1" shapeId="0">
      <text>
        <r>
          <rPr>
            <b/>
            <sz val="9"/>
            <rFont val="Tahoma"/>
            <family val="2"/>
            <charset val="204"/>
          </rPr>
          <t>Плиг Роман Миколайович:</t>
        </r>
        <r>
          <rPr>
            <sz val="9"/>
            <rFont val="Tahoma"/>
            <family val="2"/>
            <charset val="204"/>
          </rPr>
          <t xml:space="preserve">
макита за сентябрь-октябрь 2023го оплатила 53,36
нужно сделать счет за сент-окт 2023 на эту сумму.
И выставить счета дальше</t>
        </r>
      </text>
    </comment>
    <comment ref="O145" authorId="2" shapeId="0">
      <text>
        <r>
          <rPr>
            <b/>
            <sz val="9"/>
            <rFont val="Tahoma"/>
            <family val="2"/>
            <charset val="204"/>
          </rPr>
          <t xml:space="preserve">28.12.2023
</t>
        </r>
      </text>
    </comment>
    <comment ref="N248" authorId="1" shapeId="0">
      <text>
        <r>
          <rPr>
            <b/>
            <sz val="9"/>
            <rFont val="Tahoma"/>
            <family val="2"/>
            <charset val="204"/>
          </rPr>
          <t>Плиг Роман Миколайович:</t>
        </r>
        <r>
          <rPr>
            <sz val="9"/>
            <rFont val="Tahoma"/>
            <family val="2"/>
            <charset val="204"/>
          </rPr>
          <t xml:space="preserve">
не хочет платить</t>
        </r>
      </text>
    </comment>
    <comment ref="N258" authorId="1" shapeId="0">
      <text>
        <r>
          <rPr>
            <b/>
            <sz val="9"/>
            <rFont val="Tahoma"/>
            <family val="2"/>
            <charset val="204"/>
          </rPr>
          <t>Плиг Роман Миколайович:</t>
        </r>
        <r>
          <rPr>
            <sz val="9"/>
            <rFont val="Tahoma"/>
            <family val="2"/>
            <charset val="204"/>
          </rPr>
          <t xml:space="preserve">
не хочет платить</t>
        </r>
      </text>
    </comment>
  </commentList>
</comments>
</file>

<file path=xl/sharedStrings.xml><?xml version="1.0" encoding="utf-8"?>
<sst xmlns="http://schemas.openxmlformats.org/spreadsheetml/2006/main" count="3570" uniqueCount="390">
  <si>
    <t>№ ТТ</t>
  </si>
  <si>
    <t>адрес</t>
  </si>
  <si>
    <t>субарендатор</t>
  </si>
  <si>
    <t>ОКПО</t>
  </si>
  <si>
    <t>площадь, мкв</t>
  </si>
  <si>
    <t>Группа товара</t>
  </si>
  <si>
    <t>акт пп</t>
  </si>
  <si>
    <t>№ договора</t>
  </si>
  <si>
    <t>Счетчик</t>
  </si>
  <si>
    <t>Коэф.</t>
  </si>
  <si>
    <t>Потребление травень 2025</t>
  </si>
  <si>
    <t>Потребление червень 2025</t>
  </si>
  <si>
    <t>Потребление липень 2025</t>
  </si>
  <si>
    <t>Потребления сентябрь 2025</t>
  </si>
  <si>
    <t>Потребления октбярь 2025</t>
  </si>
  <si>
    <t>Потребления ноябрь 2025</t>
  </si>
  <si>
    <t>Потребления декабрь 2025</t>
  </si>
  <si>
    <t>Стоимость</t>
  </si>
  <si>
    <t>Итого</t>
  </si>
  <si>
    <t>л</t>
  </si>
  <si>
    <t>1-1</t>
  </si>
  <si>
    <t>Житомирська обл., м. Житомир, проспект Миру, буд. 15</t>
  </si>
  <si>
    <t>ТОВ "Подорожник Житомир"</t>
  </si>
  <si>
    <t>электроэнергия</t>
  </si>
  <si>
    <t>аптека</t>
  </si>
  <si>
    <t>№ 17/07 від 19 серпня 2022 року</t>
  </si>
  <si>
    <t>Вода</t>
  </si>
  <si>
    <t>м. Київ, вул. Володимирська, 73/77</t>
  </si>
  <si>
    <t>ФОП Ільєнко О.М.</t>
  </si>
  <si>
    <t>2653404868</t>
  </si>
  <si>
    <t>водомат</t>
  </si>
  <si>
    <t>№ СУБ-25/ІОМ-Л від 01 лютого 2025 року</t>
  </si>
  <si>
    <t>м. Київ, вул. Раїси Окіпної, будинок 3</t>
  </si>
  <si>
    <t>ФОП Красій Я.М.</t>
  </si>
  <si>
    <t>3092608596</t>
  </si>
  <si>
    <t>кофе-чай</t>
  </si>
  <si>
    <t>№ СУБ-24/М-3/1 від 01 грудня 2024 року</t>
  </si>
  <si>
    <t>4-1</t>
  </si>
  <si>
    <t>Київська обл., м. Ірпінь, смт. Коцюбинське, вул. Пономарьова, 28-а</t>
  </si>
  <si>
    <t>ФОП Морозова І.В.</t>
  </si>
  <si>
    <t>2679220364</t>
  </si>
  <si>
    <t xml:space="preserve">кавовий апарат </t>
  </si>
  <si>
    <t>№ СУБ-24/М-4/1 від 08 березня 2024 року</t>
  </si>
  <si>
    <t>-</t>
  </si>
  <si>
    <t>м. Київ, вул. Якуба Колоса, № 2 (Літера А)</t>
  </si>
  <si>
    <t>ФОП Капійчук О.С.</t>
  </si>
  <si>
    <t>3556512845</t>
  </si>
  <si>
    <t>№ СУБ-25/М-5/2 від 06 червня 2025 року</t>
  </si>
  <si>
    <t>м. Київ, вул. Сікорського Ігоря авіаконструктора, буд. 1-А</t>
  </si>
  <si>
    <t>ФОП Педаш С.В.</t>
  </si>
  <si>
    <t>2798219324</t>
  </si>
  <si>
    <t>№ СУБ-24/М-6/2 від 10 квітня 2024 року</t>
  </si>
  <si>
    <t>р</t>
  </si>
  <si>
    <t>9/1</t>
  </si>
  <si>
    <t>м.Київ, вул. Сім'ї Ідзиковських, 4</t>
  </si>
  <si>
    <t>ФОП Маркович О.П.</t>
  </si>
  <si>
    <t>2638518679</t>
  </si>
  <si>
    <t>м. Київ, проспект Героїв Сталінграда, 65-Б</t>
  </si>
  <si>
    <t>ФОП Ісаков А.О.</t>
  </si>
  <si>
    <t>2915508435</t>
  </si>
  <si>
    <t>рибалка</t>
  </si>
  <si>
    <t>№ ОР-23/М-10/1 від 01 жовтня 2023 року</t>
  </si>
  <si>
    <t>ФОП Хуторна А.М.</t>
  </si>
  <si>
    <t>2880311305</t>
  </si>
  <si>
    <t>№ ОР-25/М-10/6 від 01 травня 2025 року</t>
  </si>
  <si>
    <t>ФОП Наумчук М.Г.</t>
  </si>
  <si>
    <t>3388709882</t>
  </si>
  <si>
    <t>зоомагазин</t>
  </si>
  <si>
    <t>№ ОР-24/М-10/2 від 01 березня 2024 року</t>
  </si>
  <si>
    <t>ФОП Трегубова М.А.</t>
  </si>
  <si>
    <t xml:space="preserve">3142718569
</t>
  </si>
  <si>
    <t xml:space="preserve">ТОВ Массмарт </t>
  </si>
  <si>
    <t>41747891</t>
  </si>
  <si>
    <t>белое/сухое</t>
  </si>
  <si>
    <t>№ ОР-24/М-10/3 від 01 травня 2024 року</t>
  </si>
  <si>
    <t>11-1</t>
  </si>
  <si>
    <t>м. Київ, вул. Автозаводська, 27</t>
  </si>
  <si>
    <t>№ СУБ-25/ІОМ-Р від 01 лютого 2025 року</t>
  </si>
  <si>
    <t>№ СУБ-24/М-11/1 від 10 квітня 2024 року</t>
  </si>
  <si>
    <t>м. Київ, вул. Антоновича, 115-Д</t>
  </si>
  <si>
    <t>ТОВ Лайфселл</t>
  </si>
  <si>
    <t>22859846</t>
  </si>
  <si>
    <t>антенна</t>
  </si>
  <si>
    <t>№ М12-СО від 01 березня 2023 року</t>
  </si>
  <si>
    <t>ТОВ "Юкрейн Таувер Компані"</t>
  </si>
  <si>
    <t>44281999</t>
  </si>
  <si>
    <t>№ TUA3725 від 05 лютого 2025 року</t>
  </si>
  <si>
    <t>13-1</t>
  </si>
  <si>
    <t>Київська обл., Києво-Святошинський район, с. Тарасівка, вул. Братів Чмілів, буд. 3-А</t>
  </si>
  <si>
    <t>ФОП Басов Е. А.</t>
  </si>
  <si>
    <t>2634610713</t>
  </si>
  <si>
    <t>№ СУБ-24/БЕА-Р від 01 грудня 2024 року</t>
  </si>
  <si>
    <t>ФОП Литвиненко О.М.</t>
  </si>
  <si>
    <t>2959508626</t>
  </si>
  <si>
    <t>зоотовары и моб.аксессуары</t>
  </si>
  <si>
    <t>№ СУБ-24/М-13/2 від 01 грудня 2024 року</t>
  </si>
  <si>
    <t>ФОП Войтов П.О.</t>
  </si>
  <si>
    <t>3081921694</t>
  </si>
  <si>
    <t>№ СУБ-25/М-13/1 від 16 травня 2025 року</t>
  </si>
  <si>
    <t>м. Київ, вул. Світла, буд. 3-Д, корп. 1, приміщення 2013</t>
  </si>
  <si>
    <t>ФОП Ридван І. Г.</t>
  </si>
  <si>
    <t>3016517362</t>
  </si>
  <si>
    <t>№ СУБ-24/РІГ-Л від 01 грудня 2024 року</t>
  </si>
  <si>
    <t>м. Київ, вул. Шолом-Алейхема, буд. 10-А</t>
  </si>
  <si>
    <t>№ ОР-25/ІОМ від 01 лютого 2025 року</t>
  </si>
  <si>
    <t>ТОВ ПНМЕК "ТОКА"</t>
  </si>
  <si>
    <t>40062282</t>
  </si>
  <si>
    <t>электрозаправка</t>
  </si>
  <si>
    <t>№ ОР-23/М-15/1 від 01 грудня 2023 року</t>
  </si>
  <si>
    <t>ПАТ Київстар</t>
  </si>
  <si>
    <t>21673832</t>
  </si>
  <si>
    <t>№ 01/01/2024 -СО від 01 січня 2024 року</t>
  </si>
  <si>
    <t>№ М15-О від 01 березня 2023 року</t>
  </si>
  <si>
    <t>ПАТ "ВФ Україна"</t>
  </si>
  <si>
    <t>14333937</t>
  </si>
  <si>
    <t>№ RC-23-510915 від 01 листопада 2023 року</t>
  </si>
  <si>
    <t>ТОВ "ЕКО ВОДА"</t>
  </si>
  <si>
    <t>40971728</t>
  </si>
  <si>
    <t>пункт разлива воды</t>
  </si>
  <si>
    <t>№ ОР-24/М-15/2 від 20 березня 2024 року</t>
  </si>
  <si>
    <t>ФОП Ковальова А.О.</t>
  </si>
  <si>
    <t>3380916566</t>
  </si>
  <si>
    <t>№ ОР-24/М-15/3 від 01 липня 2024 року</t>
  </si>
  <si>
    <t>17-1</t>
  </si>
  <si>
    <t>Київська обл., Бориспільський район, м. Бориспіль, вулиця Головатого, 64, приміщення 156</t>
  </si>
  <si>
    <t>ФОП Ткач Ю.С.</t>
  </si>
  <si>
    <t>3704207084</t>
  </si>
  <si>
    <t>№ СУБ-24/М-17/2 від 14 лютого 2024 року</t>
  </si>
  <si>
    <t>м. Київ, вул. Челябінська, 15-А</t>
  </si>
  <si>
    <t>ФОП Шамахмудов Р.Х.</t>
  </si>
  <si>
    <t>№ СУБ-25/М-18/2 від 28 квітня 2025 року</t>
  </si>
  <si>
    <t>м. Київ, Дарницький район, вул. Бориспільська, 32-А</t>
  </si>
  <si>
    <t>№ СУБ-24/БАЕ-Л від 01 грудня 2024 року</t>
  </si>
  <si>
    <t>Київська обл., м. Ірпінь, вулиця Тургенівська, буд. 50Б</t>
  </si>
  <si>
    <t>ФОП Христич А.В.</t>
  </si>
  <si>
    <t>3420415308</t>
  </si>
  <si>
    <t>№ СУБ-25/М-21/1 від 01 травня 2025 року</t>
  </si>
  <si>
    <t>ТОВ "ВИЖН ТРЕЙД"</t>
  </si>
  <si>
    <t>45602852</t>
  </si>
  <si>
    <t>вейпи</t>
  </si>
  <si>
    <t>№ СУБ-25/М-21/2 від 01 травня 2025 року</t>
  </si>
  <si>
    <t>м. Київ, вул. Вітряні Гори, будинок 21/7 (літера А)</t>
  </si>
  <si>
    <t>м. Київ, бул. В. Гавела, 18</t>
  </si>
  <si>
    <t>ФОП Драгомирецька І.Ю.</t>
  </si>
  <si>
    <t>3454605546</t>
  </si>
  <si>
    <t>№ М23-Д-СО від 26 травня 2023 року</t>
  </si>
  <si>
    <t>ФОП Даниловська О. М.</t>
  </si>
  <si>
    <t>3096407201</t>
  </si>
  <si>
    <t>№ СУБ-24/М-23/3 від 01 травня 2024 року</t>
  </si>
  <si>
    <t>ТОВ "ФДСІ ГРУП"</t>
  </si>
  <si>
    <t>44368744</t>
  </si>
  <si>
    <t>заморожені напівфабрикати</t>
  </si>
  <si>
    <t>№ СУБ-24/М-23/5 від 12 серпня 2024 року</t>
  </si>
  <si>
    <t>№ СУБ-25/М-23/6 від 03 березня 2025 року</t>
  </si>
  <si>
    <t>ФОП Міхно І.В.</t>
  </si>
  <si>
    <t>3524706936</t>
  </si>
  <si>
    <t>№СУБ-25/М-23/7 від 15 квітня 20025 року</t>
  </si>
  <si>
    <t>24-1</t>
  </si>
  <si>
    <t>Київська обл., Васильківський район, с.м.т. Глеваха, вул. Ботанична, 34</t>
  </si>
  <si>
    <t>ФОП Титомир Ю.Г.</t>
  </si>
  <si>
    <t>№ СУБ-24/М-24/1 від 10 грудня 2024 року</t>
  </si>
  <si>
    <t>ФОП Щуровський Сергій Володимирович</t>
  </si>
  <si>
    <t>Київська обл., Бучанський район, с. Софіївська Борщагівка, вул. Чубинського Павла, буд. 8-В, приміщення 541</t>
  </si>
  <si>
    <t>ФОП Москаленко О.</t>
  </si>
  <si>
    <t>м. Київ, вул. Данченка, буд. 30, приміщення 279</t>
  </si>
  <si>
    <t>м. Київ, Деснянський район, вул. Радистів, буд. 14</t>
  </si>
  <si>
    <t>ФОП Кривенко Ю.О.</t>
  </si>
  <si>
    <t>Київська обл., м. Бровари, вул. Київська, 95</t>
  </si>
  <si>
    <t>ФОП Скоробагатько В.М.</t>
  </si>
  <si>
    <t>1999405761</t>
  </si>
  <si>
    <t>№ СУБ-25/М-33/1 від 15 квітня 2025 року</t>
  </si>
  <si>
    <t>м. Київ, вул. Олени Пчілки, 7-Б</t>
  </si>
  <si>
    <t>ТОВ “ФК “Альфа-Інвест Груп“</t>
  </si>
  <si>
    <t>39013808</t>
  </si>
  <si>
    <t>обмен валют</t>
  </si>
  <si>
    <t>№ СУБ-25/М-35/5 від 01 січня 2024 року</t>
  </si>
  <si>
    <t>ФОП Вигівський Є.В.</t>
  </si>
  <si>
    <t>3874010199</t>
  </si>
  <si>
    <t>№ СУБ-24/М-35/4 від 16 грудня 2024 року</t>
  </si>
  <si>
    <t>Київська обл., м. Буча, провулок Олекси Тихого, будинок 4, секція 2, нежитлове приміщення № 236</t>
  </si>
  <si>
    <t>ФОП Конотовський О.В.</t>
  </si>
  <si>
    <t>3086512930</t>
  </si>
  <si>
    <t>№ СУБ-25/М-36/1 від 26 травня 2025 року</t>
  </si>
  <si>
    <t xml:space="preserve">м. Чернігів, вул. Всіхсвятська, 5 </t>
  </si>
  <si>
    <t>ТОВ "РУШ"</t>
  </si>
  <si>
    <t>33007740</t>
  </si>
  <si>
    <t>цветы/подарки</t>
  </si>
  <si>
    <t>№ М38-М-СО від 13 січня 2023 року</t>
  </si>
  <si>
    <t>ФОП Глушко Т.Д.</t>
  </si>
  <si>
    <t>3253716900</t>
  </si>
  <si>
    <t>№ СУБ-25/М-38/7 від 01 квітня 2025 року</t>
  </si>
  <si>
    <t>вода</t>
  </si>
  <si>
    <t>Київська обл., м. Біла Церква, вул. Митрофанова, 8</t>
  </si>
  <si>
    <t>ФОП Чуб Н.В.</t>
  </si>
  <si>
    <t>3028318005</t>
  </si>
  <si>
    <t>№ СУБ-23/М41/1 від 14 листопада 2023 року</t>
  </si>
  <si>
    <t>Київська обл., Білоцерківський район, м. Біла Церква, Сквирське шосе, будинок 223</t>
  </si>
  <si>
    <t>ООО ИОНИТИ</t>
  </si>
  <si>
    <t>зарядка</t>
  </si>
  <si>
    <t>Київська обл., Бориспільський район, с. Гора, вул. Центральна, 20А</t>
  </si>
  <si>
    <t>ПП «РОММЕД»</t>
  </si>
  <si>
    <t>32512959</t>
  </si>
  <si>
    <t>Аптека</t>
  </si>
  <si>
    <t>№ М42-1-СО від 22 серпня 2022 року</t>
  </si>
  <si>
    <t>Вывеска</t>
  </si>
  <si>
    <t>ФОП Майок Ю.В.</t>
  </si>
  <si>
    <t>3305418720</t>
  </si>
  <si>
    <t>Магазин розливного пива</t>
  </si>
  <si>
    <t>№ М42-М-СО від 06 вересня 2022 року</t>
  </si>
  <si>
    <t>суши</t>
  </si>
  <si>
    <t>№ СУБ-23/М-42/2 від 22 грудня 2023 року</t>
  </si>
  <si>
    <t>раки</t>
  </si>
  <si>
    <t>№ СУБ-24/М-42/3 від 15 березня 2024 року</t>
  </si>
  <si>
    <t>Київська обл., Фастівський район, м. Боярка, вул. Бульварна, будинок 2/50</t>
  </si>
  <si>
    <t>ФОП Тимошенко А.В.</t>
  </si>
  <si>
    <t>№ СУБ-24/М-43/1 від 20 листопада 2024 року</t>
  </si>
  <si>
    <t>Б</t>
  </si>
  <si>
    <t>РЦ (Б)</t>
  </si>
  <si>
    <t xml:space="preserve">c.Білогородка, вул.Аграрна,1 </t>
  </si>
  <si>
    <t>ТОВ Перша Чарівна Скриня</t>
  </si>
  <si>
    <t>ИТОГО</t>
  </si>
  <si>
    <t>Предприятие</t>
  </si>
  <si>
    <t>Расход электроэнергии/воды за август 2023г.</t>
  </si>
  <si>
    <t>Легіон 2015</t>
  </si>
  <si>
    <t>Местоположение:</t>
  </si>
  <si>
    <t>М34 магазин "Пчелка маркет" г. Киев, ул. Р.Окипной, 3</t>
  </si>
  <si>
    <t>з ПДВ</t>
  </si>
  <si>
    <t>№ п/п</t>
  </si>
  <si>
    <t>Название потребителя</t>
  </si>
  <si>
    <t>Юридическое лицо</t>
  </si>
  <si>
    <t>№ счетчика</t>
  </si>
  <si>
    <t>Энергоноситель</t>
  </si>
  <si>
    <t>Показатели счетчика</t>
  </si>
  <si>
    <t>Потребление, кВт/ч, м3/ч</t>
  </si>
  <si>
    <t>Стоимость 1кВт/ч, м3/ч</t>
  </si>
  <si>
    <t xml:space="preserve">Дата снятия </t>
  </si>
  <si>
    <t>Показатели</t>
  </si>
  <si>
    <t>Субпотребитель</t>
  </si>
  <si>
    <t>ТОВ "Аврора"</t>
  </si>
  <si>
    <t>НІК 2303 АРП1 №0222299</t>
  </si>
  <si>
    <t>Активная э.э.</t>
  </si>
  <si>
    <t>ИТОГО:</t>
  </si>
  <si>
    <t>грн.</t>
  </si>
  <si>
    <t>Расход электроэнергии/воды за сентябр 2023г.</t>
  </si>
  <si>
    <t>М3 магазин "Пчелка маркет" г. Киев, ул. Р.Окипной, 3</t>
  </si>
  <si>
    <t>Расход электроэнергии/воды за октябрь 2023г.</t>
  </si>
  <si>
    <t>Расход электроэнергии/воды за ноябрь 2023г.</t>
  </si>
  <si>
    <t>Отправили счет на ФОП "Воробйова"</t>
  </si>
  <si>
    <t>Расход электроэнергии/воды за декабрь 2023г.</t>
  </si>
  <si>
    <t>Расход электроэнергии/воды за январь 2024 г.</t>
  </si>
  <si>
    <t>Расход электроэнергии/воды за февраль 2024 г.</t>
  </si>
  <si>
    <t>Расход электроэнергии/воды за март 2024 г.</t>
  </si>
  <si>
    <t>Расход электроэнергии/воды за апрель 2024 г.</t>
  </si>
  <si>
    <t>Расход электроэнергии/воды за май 2024 г.</t>
  </si>
  <si>
    <t>Расход электроэнергии/воды за июнь 2024 г.</t>
  </si>
  <si>
    <t>Расход электроэнергии/воды за июль 2024 г.</t>
  </si>
  <si>
    <t>Активная э.э.1.8.0</t>
  </si>
  <si>
    <t>Расход электроэнергии/воды за август 2024 г.</t>
  </si>
  <si>
    <t>Расход электроэнергии/воды за сентябрь 2024 г.</t>
  </si>
  <si>
    <t>Расход электроэнергии/воды за октябрь 2024 г.</t>
  </si>
  <si>
    <t>Расход электроэнергии/воды за ноябрь 2024 г.</t>
  </si>
  <si>
    <t>Расход электроэнергии/воды за декабрь 2024 г.</t>
  </si>
  <si>
    <t>Расход электроэнергии/воды за январь 2025 г.</t>
  </si>
  <si>
    <t>Расход электроэнергии/воды за февраль 2025 г.</t>
  </si>
  <si>
    <t>Расход электроэнергии/воды за март 2025 г.</t>
  </si>
  <si>
    <t>Расход электроэнергии/воды за апрель 2025 г.</t>
  </si>
  <si>
    <t>Расход электроэнергии/воды за май 2025 г.</t>
  </si>
  <si>
    <t>Расход электроэнергии/воды за июнь 2025 г.</t>
  </si>
  <si>
    <t>Расход электроэнергии/воды за июль 2025 г.</t>
  </si>
  <si>
    <t>Расход электроэнергии/воды за август 2025 г.</t>
  </si>
  <si>
    <t>Расход электроэнергии/воды за сентябрь 2025 г.</t>
  </si>
  <si>
    <t>Расход электроэнергии/воды за октябрь 2025 г.</t>
  </si>
  <si>
    <t>Расход электроэнергии/воды за ноябрь 2025 г.</t>
  </si>
  <si>
    <t>Расход электроэнергии/воды за декабрь 2025 г.</t>
  </si>
  <si>
    <t>Расход электроэнергии/воды за февраль-ноябрь 2022г.</t>
  </si>
  <si>
    <t>М5 магазин "Пчелка маркет" г. Киев, ул. Коласа Якуба, 2A</t>
  </si>
  <si>
    <t>Спортивный клуб</t>
  </si>
  <si>
    <t>Энергомера ЦЭ68038 №60142331</t>
  </si>
  <si>
    <t xml:space="preserve">JS 2,5-02 №13749754 </t>
  </si>
  <si>
    <t>Водоснабжение</t>
  </si>
  <si>
    <t>Магазин инструментов ТМ "Makita"</t>
  </si>
  <si>
    <t>CO-ЭЭ6706 №054494008</t>
  </si>
  <si>
    <t>Помещение электрощитовой</t>
  </si>
  <si>
    <t>НІК 2102-02.M2  №4921123</t>
  </si>
  <si>
    <t>Фев.-дек.2022</t>
  </si>
  <si>
    <t>Расход электроэнергии/воды за декабрь 2022г.</t>
  </si>
  <si>
    <t>Расход электроэнергии/воды за январь 2023г.</t>
  </si>
  <si>
    <t>Расход электроэнергии/воды за февраль 2023г.</t>
  </si>
  <si>
    <t>Расход электроэнергии/воды за март 2023г.</t>
  </si>
  <si>
    <t>Сумма к оплате, грн</t>
  </si>
  <si>
    <t>Сплачено</t>
  </si>
  <si>
    <t>Расход электроэнергии/воды за апрель 2023г.</t>
  </si>
  <si>
    <t>Потребление, кВт/ч, м3</t>
  </si>
  <si>
    <t>Стоимость 1кВт/ч, м3</t>
  </si>
  <si>
    <t>Расход электроэнергии/воды за май 2023г.</t>
  </si>
  <si>
    <t>Расход электроэнергии/воды за июнь 2023г.</t>
  </si>
  <si>
    <t>Расход электроэнергии/воды за июль 2023г.</t>
  </si>
  <si>
    <t xml:space="preserve">Сплачено </t>
  </si>
  <si>
    <t>Расход электроэнергии/воды за сентябрь 2023г.</t>
  </si>
  <si>
    <t xml:space="preserve">До сплати: </t>
  </si>
  <si>
    <t>Расход электроэнергии/воды за февраль 2024</t>
  </si>
  <si>
    <t>Расход электроэнергии/воды за март 2024</t>
  </si>
  <si>
    <t>Расход электроэнергии/воды за апрель 2024</t>
  </si>
  <si>
    <t>Расход электроэнергии/воды за май 2024</t>
  </si>
  <si>
    <t>Расход электроэнергии/воды за июнь 2024</t>
  </si>
  <si>
    <t>JS 1,5-02 № 10071658</t>
  </si>
  <si>
    <t>Помещение электрощитовой (пицерия?)</t>
  </si>
  <si>
    <t>Расход электроэнергии/воды за июль 2024</t>
  </si>
  <si>
    <t>Расход электроэнергии/воды за август 2024</t>
  </si>
  <si>
    <t>Спортивный клуб НОВЫЙ (павел +380730647197)</t>
  </si>
  <si>
    <t>NIK 2301 № 0197890</t>
  </si>
  <si>
    <t>НІК 2102-02.M1 9661456</t>
  </si>
  <si>
    <t>Расход электроэнергии/воды за сентябрь 2024</t>
  </si>
  <si>
    <t>Расход электроэнергии/воды за октябрь 2024</t>
  </si>
  <si>
    <t>NIK 2301 № 13478048</t>
  </si>
  <si>
    <t>Магазин инструментов ТМ "Makita" (Евгений +380633551098)</t>
  </si>
  <si>
    <t>НІК 2102-02.M1 9661456; 0197889</t>
  </si>
  <si>
    <t>Помещение электрощитовой (пицерия? пиво) ФОП Игнатов +380503124331. Таня оплата +380952800033</t>
  </si>
  <si>
    <t>Расход электроэнергии/воды за ноябрь 2024</t>
  </si>
  <si>
    <t xml:space="preserve">Помещение электрощитовой (пицерия? пиво) ФОП Игнатов +380503124331. </t>
  </si>
  <si>
    <t>кофе - кондитерская мята (Сергей +380990511258; Таня оплата +380952800033)</t>
  </si>
  <si>
    <t>Расход электроэнергии/воды за декабрь 2024</t>
  </si>
  <si>
    <t>Расход электроэнергии/воды за январь 2025</t>
  </si>
  <si>
    <t>(щитовая) кофе - кондитерская мята (Сергей +380990511258; Таня оплата +380952800033)</t>
  </si>
  <si>
    <t>Расход электроэнергии/воды за февраль 2025</t>
  </si>
  <si>
    <t>Расход электроэнергии/воды за март 2025</t>
  </si>
  <si>
    <t>Расход электроэнергии/воды за апрель 2025</t>
  </si>
  <si>
    <t>Расход электроэнергии/воды за май 2025</t>
  </si>
  <si>
    <t>Расход электроэнергии/воды за июнь 2025</t>
  </si>
  <si>
    <t>Расход электроэнергии/воды за июль 2025</t>
  </si>
  <si>
    <t>Расход электроэнергии/воды за август 2025</t>
  </si>
  <si>
    <t>Расход электроэнергии/воды за сентябрь 2025</t>
  </si>
  <si>
    <t>Расход электроэнергии/воды за октябрь  2025</t>
  </si>
  <si>
    <t>Расход электроэнергии/воды за ноябрь  2025</t>
  </si>
  <si>
    <t>Расход электроэнергии/воды за декабрь  2025</t>
  </si>
  <si>
    <t>М11 магазин "Пчелка маркет" г. Киев, Автозаводська,27</t>
  </si>
  <si>
    <t>ФОП ЧАХОЯН ГАЙК ЕДВАРДОВИЧ</t>
  </si>
  <si>
    <t>(ТП) NIK 2303 ARP1 №0198983</t>
  </si>
  <si>
    <t>Активня э.э.</t>
  </si>
  <si>
    <t>Расход электроэнергии/воды за январь 2024г.</t>
  </si>
  <si>
    <t>Расход электроэнергии/воды за февраль 2024г.</t>
  </si>
  <si>
    <t>31.02.2024</t>
  </si>
  <si>
    <t>Расход электроэнергии/воды март 2024г.</t>
  </si>
  <si>
    <t>Расход электроэнергии/воды за квітень 2024г.</t>
  </si>
  <si>
    <t>31.04.2024</t>
  </si>
  <si>
    <t>Расход электроэнергии/воды май 2024г.</t>
  </si>
  <si>
    <t>Расход электроэнергии/воды июнь 2024г.</t>
  </si>
  <si>
    <t>Расход электроэнергии/воды июль 2024г.</t>
  </si>
  <si>
    <t>Расход электроэнергии/воды август 2024г.</t>
  </si>
  <si>
    <t>Расход электроэнергии/воды сентябрь 2024г.</t>
  </si>
  <si>
    <t>30.092024</t>
  </si>
  <si>
    <t>Расход электроэнергии/воды октябрь 2024 г.</t>
  </si>
  <si>
    <t>Расход электроэнергии/воды ноябрь 2024 г.</t>
  </si>
  <si>
    <t>31.11.2024</t>
  </si>
  <si>
    <t>Расход электроэнергии/воды декабрь 2024 г.</t>
  </si>
  <si>
    <t>Расход электроэнергии/воды январь 2025 г.</t>
  </si>
  <si>
    <t>Расход электроэнергии/воды февраль 2025 г.</t>
  </si>
  <si>
    <t>Расход электроэнергии/воды март 2025 г.</t>
  </si>
  <si>
    <t>Расход электроэнергии/воды апрель 2025 г.</t>
  </si>
  <si>
    <t>Расход электроэнергии/воды май 2025 г.</t>
  </si>
  <si>
    <t>Расход электроэнергии/воды июнь 2025 г.</t>
  </si>
  <si>
    <t>Расход электроэнергии/воды июль 2025 г.</t>
  </si>
  <si>
    <t>Расход электроэнергии/воды август 2025 г.</t>
  </si>
  <si>
    <t>Расход электроэнергии/воды сентябрь 2025 г.</t>
  </si>
  <si>
    <t>Расход электроэнергии/воды октябрь 2025 г.</t>
  </si>
  <si>
    <t>Расход электроэнергии/воды ноябрь 2025 г.</t>
  </si>
  <si>
    <t>Расход электроэнергии/воды декабрь 2025 г.</t>
  </si>
  <si>
    <t>Расход электроэнергии/воды за ЛЮТИЙ 2024г.</t>
  </si>
  <si>
    <t>М40 магазин "Пчелка маркет"Б.Церковь. Ул. Метрофанова,8</t>
  </si>
  <si>
    <t>РЕНТ ЛАЙН КОМПАНІ</t>
  </si>
  <si>
    <t>ТОВ КИЕВСКИЙ ТРЕЙД</t>
  </si>
  <si>
    <t xml:space="preserve"> №0075071140</t>
  </si>
  <si>
    <t>АТЛАНТ СПОРТ</t>
  </si>
  <si>
    <t xml:space="preserve"> NIK2300 №20375257</t>
  </si>
  <si>
    <t>Расход электроэнергии/воды за березень 2024г.</t>
  </si>
  <si>
    <t>Расход электроэнергии/воды за  травень 2024г.</t>
  </si>
  <si>
    <t>Расход электроэнергии/воды за червень 2024г.</t>
  </si>
  <si>
    <t>М40 магазин "Пчелка маркет". Б.Церковь, ул. Митрофанова,8</t>
  </si>
  <si>
    <t>Расход электроэнергии/воды за липень 2024г.</t>
  </si>
  <si>
    <t>Расход электроэнергии/воды за август 2024г.</t>
  </si>
  <si>
    <t>Расход электроэнергии/воды за сентябрь 2024г.</t>
  </si>
  <si>
    <t>Расход электроэнергии/воды за октябрь 2024г.</t>
  </si>
  <si>
    <t>Расход электроэнергии/воды за ноябрь 2024г.</t>
  </si>
  <si>
    <t>Расход электроэнергии/воды за декабрь 2024г.</t>
  </si>
  <si>
    <t>28,02,2025</t>
  </si>
  <si>
    <t>Потребления січень 2026</t>
  </si>
  <si>
    <t>Расход электроэнергии/воды за январь  2026</t>
  </si>
  <si>
    <t>Расход электроэнергии/воды январь 2026 г.</t>
  </si>
  <si>
    <t>Расход электроэнергии/воды за январь 2026 г.</t>
  </si>
  <si>
    <t>Расход электроэнергии/воды за январь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</si>
</sst>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\ ##0.00"/>
    <numFmt numFmtId="165" formatCode="_-* #\ ##0.00_-;\-* #\ ##0.00_-;_-* &quot;-&quot;??_-;_-@_-"/>
    <numFmt numFmtId="166" formatCode="_-* #\ ##0.00_-;\-* #\ ##0.00_-;_-* \-??_-;_-@_-"/>
    <numFmt numFmtId="167" formatCode="[$-419]dd/mm/yyyy"/>
    <numFmt numFmtId="168" formatCode="0.0"/>
    <numFmt numFmtId="169" formatCode="0.000"/>
    <numFmt numFmtId="170" formatCode="0.000000"/>
    <numFmt numFmtId="171" formatCode="0.00000"/>
    <numFmt numFmtId="172" formatCode="mmm\.yy"/>
    <numFmt numFmtId="173" formatCode="dd\.mm\.yyyy"/>
  </numFmts>
  <fonts count="26" x14ac:knownFonts="1">
    <font>
      <sz val="11"/>
      <color theme="1"/>
      <name val="Calibri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Arial Narrow"/>
      <family val="2"/>
      <charset val="204"/>
    </font>
    <font>
      <b/>
      <sz val="14"/>
      <color rgb="FF000000"/>
      <name val="Arial Narrow"/>
      <family val="2"/>
      <charset val="204"/>
    </font>
    <font>
      <b/>
      <sz val="11"/>
      <color rgb="FF000000"/>
      <name val="Arial Narrow"/>
      <family val="2"/>
      <charset val="204"/>
    </font>
    <font>
      <sz val="11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color rgb="FFFF0000"/>
      <name val="Arial Narrow"/>
      <family val="2"/>
      <charset val="204"/>
    </font>
    <font>
      <b/>
      <sz val="14"/>
      <color rgb="FFFF0000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14"/>
      <color rgb="FF000000"/>
      <name val="Arial Narrow"/>
      <family val="2"/>
      <charset val="204"/>
    </font>
    <font>
      <sz val="14"/>
      <name val="Arial Narrow"/>
      <family val="2"/>
      <charset val="204"/>
    </font>
    <font>
      <sz val="14"/>
      <color rgb="FFC9211E"/>
      <name val="Arial Narrow"/>
      <family val="2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4"/>
      <name val="Arial Narrow"/>
      <family val="2"/>
      <charset val="204"/>
    </font>
    <font>
      <b/>
      <sz val="14"/>
      <color rgb="FF000000"/>
      <name val="Arial Narrow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9"/>
        <bgColor rgb="FF92D050"/>
      </patternFill>
    </fill>
    <fill>
      <patternFill patternType="solid">
        <fgColor theme="9"/>
        <bgColor rgb="FFC9211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C9211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0000"/>
        <bgColor rgb="FF92D05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rgb="FF81D41A"/>
      </patternFill>
    </fill>
    <fill>
      <patternFill patternType="solid">
        <fgColor theme="9"/>
        <bgColor rgb="FFFFFFCC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 tint="-0.14978484450819421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FF"/>
        <bgColor rgb="FFFFFFD7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rgb="FFFFF2CC"/>
      </patternFill>
    </fill>
    <fill>
      <patternFill patternType="solid">
        <fgColor indexed="4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32">
    <xf numFmtId="0" fontId="0" fillId="0" borderId="0"/>
    <xf numFmtId="0" fontId="1" fillId="0" borderId="0"/>
    <xf numFmtId="0" fontId="19" fillId="0" borderId="0" applyNumberFormat="0" applyFill="0" applyBorder="0" applyAlignment="0" applyProtection="0"/>
    <xf numFmtId="0" fontId="20" fillId="23" borderId="4" applyProtection="0">
      <alignment vertical="center"/>
    </xf>
    <xf numFmtId="0" fontId="20" fillId="23" borderId="4" applyProtection="0">
      <alignment vertical="center"/>
    </xf>
    <xf numFmtId="0" fontId="20" fillId="23" borderId="4" applyProtection="0">
      <alignment vertical="center"/>
    </xf>
    <xf numFmtId="0" fontId="20" fillId="23" borderId="4" applyProtection="0">
      <alignment vertical="center"/>
    </xf>
    <xf numFmtId="0" fontId="20" fillId="23" borderId="4" applyProtection="0">
      <alignment vertical="center"/>
    </xf>
    <xf numFmtId="0" fontId="20" fillId="23" borderId="4" applyProtection="0">
      <alignment vertical="center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4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5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0" fillId="23" borderId="4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164" fontId="20" fillId="26" borderId="46" applyNumberFormat="0" applyProtection="0">
      <alignment horizontal="left" vertical="center" indent="1"/>
    </xf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6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6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0" fillId="0" borderId="0">
      <alignment horizontal="left"/>
    </xf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6" fillId="0" borderId="0"/>
    <xf numFmtId="0" fontId="1" fillId="0" borderId="0"/>
    <xf numFmtId="165" fontId="21" fillId="0" borderId="0" applyFont="0" applyFill="0" applyBorder="0" applyAlignment="0" applyProtection="0"/>
    <xf numFmtId="166" fontId="1" fillId="0" borderId="0" applyBorder="0" applyProtection="0"/>
    <xf numFmtId="165" fontId="1" fillId="0" borderId="0" applyFont="0" applyFill="0" applyBorder="0" applyAlignment="0" applyProtection="0"/>
  </cellStyleXfs>
  <cellXfs count="500">
    <xf numFmtId="0" fontId="0" fillId="0" borderId="0" xfId="0"/>
    <xf numFmtId="0" fontId="1" fillId="0" borderId="0" xfId="173"/>
    <xf numFmtId="0" fontId="2" fillId="0" borderId="0" xfId="173" applyFont="1"/>
    <xf numFmtId="0" fontId="2" fillId="0" borderId="0" xfId="173" applyFont="1" applyAlignment="1">
      <alignment horizontal="left"/>
    </xf>
    <xf numFmtId="0" fontId="2" fillId="0" borderId="0" xfId="173" applyFont="1" applyAlignment="1">
      <alignment wrapText="1"/>
    </xf>
    <xf numFmtId="0" fontId="2" fillId="0" borderId="3" xfId="173" applyFont="1" applyBorder="1" applyAlignment="1">
      <alignment horizontal="center" vertical="center"/>
    </xf>
    <xf numFmtId="0" fontId="2" fillId="0" borderId="4" xfId="173" applyFont="1" applyBorder="1" applyAlignment="1">
      <alignment horizontal="center" vertical="center"/>
    </xf>
    <xf numFmtId="0" fontId="5" fillId="0" borderId="4" xfId="173" applyFont="1" applyBorder="1" applyAlignment="1">
      <alignment horizontal="center" vertical="center"/>
    </xf>
    <xf numFmtId="0" fontId="2" fillId="0" borderId="4" xfId="173" applyFont="1" applyBorder="1" applyAlignment="1">
      <alignment horizontal="left" vertical="center"/>
    </xf>
    <xf numFmtId="0" fontId="2" fillId="0" borderId="4" xfId="173" applyFont="1" applyBorder="1" applyAlignment="1">
      <alignment horizontal="left" vertical="center" wrapText="1"/>
    </xf>
    <xf numFmtId="167" fontId="5" fillId="2" borderId="4" xfId="173" applyNumberFormat="1" applyFont="1" applyFill="1" applyBorder="1" applyAlignment="1">
      <alignment horizontal="center" vertical="center"/>
    </xf>
    <xf numFmtId="2" fontId="6" fillId="2" borderId="4" xfId="173" applyNumberFormat="1" applyFont="1" applyFill="1" applyBorder="1" applyAlignment="1">
      <alignment horizontal="center" vertical="center"/>
    </xf>
    <xf numFmtId="0" fontId="2" fillId="0" borderId="6" xfId="173" applyFont="1" applyBorder="1" applyAlignment="1">
      <alignment horizontal="center" vertical="center"/>
    </xf>
    <xf numFmtId="0" fontId="2" fillId="0" borderId="8" xfId="173" applyFont="1" applyBorder="1" applyAlignment="1">
      <alignment horizontal="left" vertical="center"/>
    </xf>
    <xf numFmtId="0" fontId="2" fillId="0" borderId="8" xfId="173" applyFont="1" applyBorder="1" applyAlignment="1">
      <alignment horizontal="left" vertical="center" wrapText="1"/>
    </xf>
    <xf numFmtId="0" fontId="2" fillId="0" borderId="8" xfId="173" applyFont="1" applyBorder="1" applyAlignment="1">
      <alignment horizontal="center" vertical="center"/>
    </xf>
    <xf numFmtId="167" fontId="5" fillId="2" borderId="8" xfId="173" applyNumberFormat="1" applyFont="1" applyFill="1" applyBorder="1" applyAlignment="1">
      <alignment horizontal="center" vertical="center"/>
    </xf>
    <xf numFmtId="2" fontId="6" fillId="3" borderId="8" xfId="173" applyNumberFormat="1" applyFont="1" applyFill="1" applyBorder="1" applyAlignment="1">
      <alignment horizontal="center" vertical="center"/>
    </xf>
    <xf numFmtId="0" fontId="2" fillId="0" borderId="0" xfId="133" applyFont="1" applyAlignment="1">
      <alignment horizontal="left"/>
    </xf>
    <xf numFmtId="0" fontId="2" fillId="0" borderId="0" xfId="133" applyFont="1"/>
    <xf numFmtId="0" fontId="2" fillId="0" borderId="0" xfId="133" applyFont="1" applyAlignment="1">
      <alignment wrapText="1"/>
    </xf>
    <xf numFmtId="0" fontId="2" fillId="0" borderId="1" xfId="133" applyFont="1" applyBorder="1" applyAlignment="1">
      <alignment horizontal="center" vertical="center"/>
    </xf>
    <xf numFmtId="0" fontId="2" fillId="0" borderId="2" xfId="133" applyFont="1" applyBorder="1" applyAlignment="1">
      <alignment horizontal="center" vertical="center"/>
    </xf>
    <xf numFmtId="0" fontId="2" fillId="0" borderId="3" xfId="133" applyFont="1" applyBorder="1" applyAlignment="1">
      <alignment horizontal="center" vertical="center"/>
    </xf>
    <xf numFmtId="0" fontId="2" fillId="0" borderId="4" xfId="133" applyFont="1" applyBorder="1" applyAlignment="1">
      <alignment horizontal="center" vertical="center"/>
    </xf>
    <xf numFmtId="0" fontId="5" fillId="0" borderId="4" xfId="133" applyFont="1" applyBorder="1" applyAlignment="1">
      <alignment horizontal="center" vertical="center"/>
    </xf>
    <xf numFmtId="0" fontId="2" fillId="0" borderId="4" xfId="133" applyFont="1" applyBorder="1" applyAlignment="1">
      <alignment horizontal="left" vertical="center"/>
    </xf>
    <xf numFmtId="0" fontId="2" fillId="0" borderId="4" xfId="133" applyFont="1" applyBorder="1" applyAlignment="1">
      <alignment horizontal="left" vertical="center" wrapText="1"/>
    </xf>
    <xf numFmtId="167" fontId="5" fillId="2" borderId="4" xfId="133" applyNumberFormat="1" applyFont="1" applyFill="1" applyBorder="1" applyAlignment="1">
      <alignment horizontal="center" vertical="center"/>
    </xf>
    <xf numFmtId="2" fontId="6" fillId="2" borderId="4" xfId="133" applyNumberFormat="1" applyFont="1" applyFill="1" applyBorder="1" applyAlignment="1">
      <alignment horizontal="center" vertical="center"/>
    </xf>
    <xf numFmtId="0" fontId="2" fillId="0" borderId="6" xfId="133" applyFont="1" applyBorder="1" applyAlignment="1">
      <alignment horizontal="center" vertical="center"/>
    </xf>
    <xf numFmtId="0" fontId="2" fillId="0" borderId="8" xfId="133" applyFont="1" applyBorder="1" applyAlignment="1">
      <alignment horizontal="left" vertical="center"/>
    </xf>
    <xf numFmtId="0" fontId="2" fillId="0" borderId="8" xfId="133" applyFont="1" applyBorder="1" applyAlignment="1">
      <alignment horizontal="left" vertical="center" wrapText="1"/>
    </xf>
    <xf numFmtId="0" fontId="2" fillId="0" borderId="8" xfId="133" applyFont="1" applyBorder="1" applyAlignment="1">
      <alignment horizontal="center" vertical="center"/>
    </xf>
    <xf numFmtId="167" fontId="5" fillId="2" borderId="8" xfId="133" applyNumberFormat="1" applyFont="1" applyFill="1" applyBorder="1" applyAlignment="1">
      <alignment horizontal="center" vertical="center"/>
    </xf>
    <xf numFmtId="2" fontId="6" fillId="3" borderId="8" xfId="133" applyNumberFormat="1" applyFont="1" applyFill="1" applyBorder="1" applyAlignment="1">
      <alignment horizontal="center" vertical="center"/>
    </xf>
    <xf numFmtId="0" fontId="2" fillId="0" borderId="5" xfId="133" applyFont="1" applyBorder="1" applyAlignment="1">
      <alignment horizontal="center" vertical="center"/>
    </xf>
    <xf numFmtId="0" fontId="5" fillId="0" borderId="5" xfId="133" applyFont="1" applyBorder="1" applyAlignment="1">
      <alignment horizontal="center" vertical="center"/>
    </xf>
    <xf numFmtId="0" fontId="2" fillId="0" borderId="2" xfId="133" applyFont="1" applyBorder="1" applyAlignment="1">
      <alignment horizontal="left" vertical="center"/>
    </xf>
    <xf numFmtId="0" fontId="2" fillId="0" borderId="2" xfId="133" applyFont="1" applyBorder="1" applyAlignment="1">
      <alignment horizontal="left" vertical="center" wrapText="1"/>
    </xf>
    <xf numFmtId="167" fontId="5" fillId="4" borderId="2" xfId="133" applyNumberFormat="1" applyFont="1" applyFill="1" applyBorder="1" applyAlignment="1">
      <alignment horizontal="center" vertical="center"/>
    </xf>
    <xf numFmtId="2" fontId="6" fillId="4" borderId="2" xfId="133" applyNumberFormat="1" applyFont="1" applyFill="1" applyBorder="1" applyAlignment="1">
      <alignment horizontal="center" vertical="center"/>
    </xf>
    <xf numFmtId="167" fontId="5" fillId="4" borderId="8" xfId="133" applyNumberFormat="1" applyFont="1" applyFill="1" applyBorder="1" applyAlignment="1">
      <alignment horizontal="center" vertical="center"/>
    </xf>
    <xf numFmtId="2" fontId="6" fillId="5" borderId="8" xfId="133" applyNumberFormat="1" applyFont="1" applyFill="1" applyBorder="1" applyAlignment="1">
      <alignment horizontal="center" vertical="center"/>
    </xf>
    <xf numFmtId="2" fontId="6" fillId="3" borderId="4" xfId="133" applyNumberFormat="1" applyFont="1" applyFill="1" applyBorder="1" applyAlignment="1">
      <alignment horizontal="center" vertical="center"/>
    </xf>
    <xf numFmtId="0" fontId="2" fillId="0" borderId="0" xfId="133" applyFont="1" applyAlignment="1">
      <alignment vertical="center"/>
    </xf>
    <xf numFmtId="0" fontId="4" fillId="0" borderId="0" xfId="133" applyFont="1" applyAlignment="1">
      <alignment vertical="center"/>
    </xf>
    <xf numFmtId="168" fontId="4" fillId="0" borderId="4" xfId="173" applyNumberFormat="1" applyFont="1" applyBorder="1" applyAlignment="1">
      <alignment horizontal="center" vertical="center"/>
    </xf>
    <xf numFmtId="2" fontId="7" fillId="0" borderId="4" xfId="173" applyNumberFormat="1" applyFont="1" applyBorder="1" applyAlignment="1">
      <alignment horizontal="center" vertical="center"/>
    </xf>
    <xf numFmtId="169" fontId="3" fillId="2" borderId="4" xfId="173" applyNumberFormat="1" applyFont="1" applyFill="1" applyBorder="1" applyAlignment="1">
      <alignment horizontal="center" vertical="center"/>
    </xf>
    <xf numFmtId="2" fontId="4" fillId="0" borderId="12" xfId="173" applyNumberFormat="1" applyFont="1" applyBorder="1" applyAlignment="1">
      <alignment horizontal="center" vertical="center"/>
    </xf>
    <xf numFmtId="168" fontId="6" fillId="0" borderId="8" xfId="173" applyNumberFormat="1" applyFont="1" applyBorder="1" applyAlignment="1">
      <alignment horizontal="center" vertical="center"/>
    </xf>
    <xf numFmtId="2" fontId="7" fillId="0" borderId="8" xfId="173" applyNumberFormat="1" applyFont="1" applyBorder="1" applyAlignment="1">
      <alignment horizontal="center" vertical="center"/>
    </xf>
    <xf numFmtId="169" fontId="3" fillId="2" borderId="8" xfId="173" applyNumberFormat="1" applyFont="1" applyFill="1" applyBorder="1" applyAlignment="1">
      <alignment horizontal="center" vertical="center"/>
    </xf>
    <xf numFmtId="2" fontId="4" fillId="0" borderId="13" xfId="173" applyNumberFormat="1" applyFont="1" applyBorder="1" applyAlignment="1">
      <alignment horizontal="center" vertical="center"/>
    </xf>
    <xf numFmtId="169" fontId="3" fillId="6" borderId="14" xfId="173" applyNumberFormat="1" applyFont="1" applyFill="1" applyBorder="1" applyAlignment="1">
      <alignment horizontal="center" vertical="center"/>
    </xf>
    <xf numFmtId="2" fontId="3" fillId="0" borderId="15" xfId="173" applyNumberFormat="1" applyFont="1" applyBorder="1" applyAlignment="1">
      <alignment horizontal="center" vertical="center"/>
    </xf>
    <xf numFmtId="0" fontId="3" fillId="0" borderId="16" xfId="173" applyFont="1" applyBorder="1"/>
    <xf numFmtId="168" fontId="4" fillId="0" borderId="4" xfId="133" applyNumberFormat="1" applyFont="1" applyBorder="1" applyAlignment="1">
      <alignment horizontal="center" vertical="center"/>
    </xf>
    <xf numFmtId="169" fontId="3" fillId="2" borderId="4" xfId="133" applyNumberFormat="1" applyFont="1" applyFill="1" applyBorder="1" applyAlignment="1">
      <alignment horizontal="center" vertical="center"/>
    </xf>
    <xf numFmtId="168" fontId="6" fillId="0" borderId="8" xfId="133" applyNumberFormat="1" applyFont="1" applyBorder="1" applyAlignment="1">
      <alignment horizontal="center" vertical="center"/>
    </xf>
    <xf numFmtId="169" fontId="3" fillId="6" borderId="14" xfId="133" applyNumberFormat="1" applyFont="1" applyFill="1" applyBorder="1" applyAlignment="1">
      <alignment horizontal="center" vertical="center"/>
    </xf>
    <xf numFmtId="2" fontId="3" fillId="0" borderId="15" xfId="133" applyNumberFormat="1" applyFont="1" applyBorder="1" applyAlignment="1">
      <alignment horizontal="center" vertical="center"/>
    </xf>
    <xf numFmtId="0" fontId="3" fillId="0" borderId="16" xfId="133" applyFont="1" applyBorder="1"/>
    <xf numFmtId="167" fontId="5" fillId="2" borderId="2" xfId="133" applyNumberFormat="1" applyFont="1" applyFill="1" applyBorder="1" applyAlignment="1">
      <alignment horizontal="center" vertical="center"/>
    </xf>
    <xf numFmtId="2" fontId="6" fillId="2" borderId="2" xfId="133" applyNumberFormat="1" applyFont="1" applyFill="1" applyBorder="1" applyAlignment="1">
      <alignment horizontal="center" vertical="center"/>
    </xf>
    <xf numFmtId="168" fontId="4" fillId="0" borderId="2" xfId="133" applyNumberFormat="1" applyFont="1" applyBorder="1" applyAlignment="1">
      <alignment horizontal="center" vertical="center"/>
    </xf>
    <xf numFmtId="168" fontId="6" fillId="0" borderId="4" xfId="133" applyNumberFormat="1" applyFont="1" applyBorder="1" applyAlignment="1">
      <alignment horizontal="center" vertical="center"/>
    </xf>
    <xf numFmtId="169" fontId="3" fillId="7" borderId="8" xfId="173" applyNumberFormat="1" applyFont="1" applyFill="1" applyBorder="1" applyAlignment="1">
      <alignment horizontal="center" vertical="center"/>
    </xf>
    <xf numFmtId="2" fontId="6" fillId="8" borderId="4" xfId="133" applyNumberFormat="1" applyFont="1" applyFill="1" applyBorder="1" applyAlignment="1">
      <alignment horizontal="center" vertical="center"/>
    </xf>
    <xf numFmtId="0" fontId="2" fillId="6" borderId="3" xfId="173" applyFont="1" applyFill="1" applyBorder="1" applyAlignment="1">
      <alignment horizontal="center" vertical="center"/>
    </xf>
    <xf numFmtId="0" fontId="4" fillId="6" borderId="4" xfId="173" applyFont="1" applyFill="1" applyBorder="1" applyAlignment="1">
      <alignment horizontal="left" vertical="center"/>
    </xf>
    <xf numFmtId="0" fontId="2" fillId="6" borderId="4" xfId="173" applyFont="1" applyFill="1" applyBorder="1" applyAlignment="1">
      <alignment horizontal="left" vertical="center"/>
    </xf>
    <xf numFmtId="0" fontId="2" fillId="6" borderId="4" xfId="173" applyFont="1" applyFill="1" applyBorder="1" applyAlignment="1">
      <alignment horizontal="left" vertical="center" wrapText="1"/>
    </xf>
    <xf numFmtId="0" fontId="2" fillId="6" borderId="4" xfId="173" applyFont="1" applyFill="1" applyBorder="1" applyAlignment="1">
      <alignment horizontal="center" vertical="center"/>
    </xf>
    <xf numFmtId="167" fontId="5" fillId="4" borderId="4" xfId="173" applyNumberFormat="1" applyFont="1" applyFill="1" applyBorder="1" applyAlignment="1">
      <alignment horizontal="center" vertical="center"/>
    </xf>
    <xf numFmtId="2" fontId="6" fillId="4" borderId="4" xfId="173" applyNumberFormat="1" applyFont="1" applyFill="1" applyBorder="1" applyAlignment="1">
      <alignment horizontal="center" vertical="center"/>
    </xf>
    <xf numFmtId="0" fontId="2" fillId="6" borderId="0" xfId="173" applyFont="1" applyFill="1"/>
    <xf numFmtId="168" fontId="4" fillId="6" borderId="4" xfId="173" applyNumberFormat="1" applyFont="1" applyFill="1" applyBorder="1" applyAlignment="1">
      <alignment horizontal="center" vertical="center"/>
    </xf>
    <xf numFmtId="2" fontId="7" fillId="6" borderId="4" xfId="173" applyNumberFormat="1" applyFont="1" applyFill="1" applyBorder="1" applyAlignment="1">
      <alignment horizontal="center" vertical="center"/>
    </xf>
    <xf numFmtId="2" fontId="4" fillId="6" borderId="12" xfId="173" applyNumberFormat="1" applyFont="1" applyFill="1" applyBorder="1" applyAlignment="1">
      <alignment horizontal="center" vertical="center"/>
    </xf>
    <xf numFmtId="0" fontId="3" fillId="0" borderId="0" xfId="173" applyFont="1"/>
    <xf numFmtId="169" fontId="3" fillId="9" borderId="4" xfId="173" applyNumberFormat="1" applyFont="1" applyFill="1" applyBorder="1" applyAlignment="1">
      <alignment horizontal="center" vertical="center"/>
    </xf>
    <xf numFmtId="169" fontId="3" fillId="9" borderId="5" xfId="173" applyNumberFormat="1" applyFont="1" applyFill="1" applyBorder="1" applyAlignment="1">
      <alignment horizontal="center" vertical="center"/>
    </xf>
    <xf numFmtId="2" fontId="4" fillId="6" borderId="17" xfId="173" applyNumberFormat="1" applyFont="1" applyFill="1" applyBorder="1" applyAlignment="1">
      <alignment horizontal="center" vertical="center"/>
    </xf>
    <xf numFmtId="169" fontId="3" fillId="6" borderId="18" xfId="173" applyNumberFormat="1" applyFont="1" applyFill="1" applyBorder="1" applyAlignment="1">
      <alignment horizontal="center" vertical="center"/>
    </xf>
    <xf numFmtId="2" fontId="3" fillId="0" borderId="19" xfId="173" applyNumberFormat="1" applyFont="1" applyBorder="1" applyAlignment="1">
      <alignment horizontal="center" vertical="center"/>
    </xf>
    <xf numFmtId="169" fontId="8" fillId="9" borderId="5" xfId="173" applyNumberFormat="1" applyFont="1" applyFill="1" applyBorder="1" applyAlignment="1">
      <alignment horizontal="center" vertical="center"/>
    </xf>
    <xf numFmtId="169" fontId="8" fillId="6" borderId="5" xfId="173" applyNumberFormat="1" applyFont="1" applyFill="1" applyBorder="1" applyAlignment="1">
      <alignment horizontal="center" vertical="center"/>
    </xf>
    <xf numFmtId="2" fontId="6" fillId="8" borderId="4" xfId="173" applyNumberFormat="1" applyFont="1" applyFill="1" applyBorder="1" applyAlignment="1">
      <alignment horizontal="center" vertical="center"/>
    </xf>
    <xf numFmtId="0" fontId="1" fillId="0" borderId="0" xfId="173" applyAlignment="1">
      <alignment vertical="top"/>
    </xf>
    <xf numFmtId="0" fontId="1" fillId="6" borderId="0" xfId="173" applyFill="1"/>
    <xf numFmtId="2" fontId="6" fillId="7" borderId="4" xfId="173" applyNumberFormat="1" applyFont="1" applyFill="1" applyBorder="1" applyAlignment="1">
      <alignment horizontal="center" vertical="center"/>
    </xf>
    <xf numFmtId="0" fontId="2" fillId="0" borderId="4" xfId="173" applyFont="1" applyBorder="1" applyAlignment="1">
      <alignment vertical="center"/>
    </xf>
    <xf numFmtId="2" fontId="6" fillId="3" borderId="4" xfId="173" applyNumberFormat="1" applyFont="1" applyFill="1" applyBorder="1" applyAlignment="1">
      <alignment horizontal="center" vertical="center"/>
    </xf>
    <xf numFmtId="0" fontId="2" fillId="0" borderId="4" xfId="173" applyFont="1" applyBorder="1"/>
    <xf numFmtId="0" fontId="4" fillId="0" borderId="4" xfId="173" applyFont="1" applyBorder="1"/>
    <xf numFmtId="0" fontId="4" fillId="0" borderId="4" xfId="173" applyFont="1" applyBorder="1" applyAlignment="1">
      <alignment horizontal="center" vertical="center"/>
    </xf>
    <xf numFmtId="2" fontId="4" fillId="10" borderId="4" xfId="173" applyNumberFormat="1" applyFont="1" applyFill="1" applyBorder="1"/>
    <xf numFmtId="2" fontId="4" fillId="0" borderId="4" xfId="173" applyNumberFormat="1" applyFont="1" applyBorder="1"/>
    <xf numFmtId="0" fontId="4" fillId="11" borderId="4" xfId="173" applyFont="1" applyFill="1" applyBorder="1"/>
    <xf numFmtId="0" fontId="2" fillId="0" borderId="4" xfId="173" applyFont="1" applyBorder="1" applyAlignment="1">
      <alignment horizontal="right"/>
    </xf>
    <xf numFmtId="2" fontId="4" fillId="6" borderId="4" xfId="173" applyNumberFormat="1" applyFont="1" applyFill="1" applyBorder="1" applyAlignment="1">
      <alignment horizontal="center" vertical="center"/>
    </xf>
    <xf numFmtId="2" fontId="4" fillId="0" borderId="4" xfId="173" applyNumberFormat="1" applyFont="1" applyBorder="1" applyAlignment="1">
      <alignment horizontal="center" vertical="center"/>
    </xf>
    <xf numFmtId="0" fontId="4" fillId="10" borderId="4" xfId="173" applyFont="1" applyFill="1" applyBorder="1"/>
    <xf numFmtId="2" fontId="4" fillId="10" borderId="4" xfId="173" applyNumberFormat="1" applyFont="1" applyFill="1" applyBorder="1" applyAlignment="1">
      <alignment horizontal="center" vertical="center"/>
    </xf>
    <xf numFmtId="168" fontId="6" fillId="0" borderId="4" xfId="173" applyNumberFormat="1" applyFont="1" applyBorder="1" applyAlignment="1">
      <alignment horizontal="center" vertical="center"/>
    </xf>
    <xf numFmtId="2" fontId="4" fillId="11" borderId="4" xfId="173" applyNumberFormat="1" applyFont="1" applyFill="1" applyBorder="1" applyAlignment="1">
      <alignment horizontal="center" vertical="center"/>
    </xf>
    <xf numFmtId="2" fontId="2" fillId="0" borderId="0" xfId="173" applyNumberFormat="1" applyFont="1"/>
    <xf numFmtId="0" fontId="4" fillId="0" borderId="0" xfId="173" applyFont="1"/>
    <xf numFmtId="2" fontId="3" fillId="0" borderId="0" xfId="173" applyNumberFormat="1" applyFont="1"/>
    <xf numFmtId="169" fontId="4" fillId="9" borderId="4" xfId="173" applyNumberFormat="1" applyFont="1" applyFill="1" applyBorder="1" applyAlignment="1">
      <alignment horizontal="center" vertical="center" wrapText="1"/>
    </xf>
    <xf numFmtId="167" fontId="5" fillId="7" borderId="4" xfId="173" applyNumberFormat="1" applyFont="1" applyFill="1" applyBorder="1" applyAlignment="1">
      <alignment horizontal="center" vertical="center"/>
    </xf>
    <xf numFmtId="2" fontId="4" fillId="9" borderId="4" xfId="173" applyNumberFormat="1" applyFont="1" applyFill="1" applyBorder="1" applyAlignment="1">
      <alignment horizontal="center" vertical="center"/>
    </xf>
    <xf numFmtId="0" fontId="2" fillId="0" borderId="4" xfId="173" applyFont="1" applyBorder="1" applyAlignment="1">
      <alignment horizontal="left" vertical="top" wrapText="1"/>
    </xf>
    <xf numFmtId="0" fontId="2" fillId="0" borderId="0" xfId="173" applyFont="1" applyAlignment="1">
      <alignment vertical="top"/>
    </xf>
    <xf numFmtId="0" fontId="2" fillId="0" borderId="4" xfId="173" applyFont="1" applyBorder="1" applyAlignment="1">
      <alignment horizontal="center" vertical="top"/>
    </xf>
    <xf numFmtId="0" fontId="2" fillId="0" borderId="4" xfId="173" applyFont="1" applyBorder="1" applyAlignment="1">
      <alignment horizontal="left" vertical="top"/>
    </xf>
    <xf numFmtId="167" fontId="5" fillId="2" borderId="4" xfId="173" applyNumberFormat="1" applyFont="1" applyFill="1" applyBorder="1" applyAlignment="1">
      <alignment horizontal="center" vertical="top"/>
    </xf>
    <xf numFmtId="2" fontId="6" fillId="3" borderId="4" xfId="173" applyNumberFormat="1" applyFont="1" applyFill="1" applyBorder="1" applyAlignment="1">
      <alignment horizontal="center" vertical="top"/>
    </xf>
    <xf numFmtId="0" fontId="2" fillId="12" borderId="4" xfId="173" applyFont="1" applyFill="1" applyBorder="1"/>
    <xf numFmtId="168" fontId="4" fillId="0" borderId="4" xfId="173" applyNumberFormat="1" applyFont="1" applyBorder="1" applyAlignment="1">
      <alignment horizontal="center" vertical="top"/>
    </xf>
    <xf numFmtId="2" fontId="7" fillId="6" borderId="4" xfId="173" applyNumberFormat="1" applyFont="1" applyFill="1" applyBorder="1" applyAlignment="1">
      <alignment horizontal="center" vertical="top"/>
    </xf>
    <xf numFmtId="169" fontId="3" fillId="9" borderId="4" xfId="173" applyNumberFormat="1" applyFont="1" applyFill="1" applyBorder="1" applyAlignment="1">
      <alignment horizontal="center" vertical="top"/>
    </xf>
    <xf numFmtId="2" fontId="4" fillId="6" borderId="4" xfId="173" applyNumberFormat="1" applyFont="1" applyFill="1" applyBorder="1" applyAlignment="1">
      <alignment horizontal="center" vertical="top"/>
    </xf>
    <xf numFmtId="0" fontId="2" fillId="0" borderId="4" xfId="173" applyFont="1" applyBorder="1" applyAlignment="1">
      <alignment vertical="top"/>
    </xf>
    <xf numFmtId="2" fontId="4" fillId="12" borderId="4" xfId="173" applyNumberFormat="1" applyFont="1" applyFill="1" applyBorder="1" applyAlignment="1">
      <alignment horizontal="center" vertical="center"/>
    </xf>
    <xf numFmtId="0" fontId="2" fillId="12" borderId="4" xfId="173" applyFont="1" applyFill="1" applyBorder="1" applyAlignment="1">
      <alignment vertical="top"/>
    </xf>
    <xf numFmtId="0" fontId="2" fillId="6" borderId="0" xfId="173" applyFont="1" applyFill="1" applyAlignment="1">
      <alignment horizontal="center" vertical="top"/>
    </xf>
    <xf numFmtId="0" fontId="2" fillId="6" borderId="0" xfId="173" applyFont="1" applyFill="1" applyAlignment="1">
      <alignment horizontal="left" vertical="top" wrapText="1"/>
    </xf>
    <xf numFmtId="0" fontId="2" fillId="6" borderId="0" xfId="173" applyFont="1" applyFill="1" applyAlignment="1">
      <alignment horizontal="left" vertical="top"/>
    </xf>
    <xf numFmtId="167" fontId="5" fillId="4" borderId="0" xfId="173" applyNumberFormat="1" applyFont="1" applyFill="1" applyAlignment="1">
      <alignment horizontal="center" vertical="center"/>
    </xf>
    <xf numFmtId="2" fontId="6" fillId="5" borderId="0" xfId="173" applyNumberFormat="1" applyFont="1" applyFill="1" applyAlignment="1">
      <alignment horizontal="center" vertical="top"/>
    </xf>
    <xf numFmtId="168" fontId="4" fillId="6" borderId="0" xfId="173" applyNumberFormat="1" applyFont="1" applyFill="1" applyAlignment="1">
      <alignment horizontal="center" vertical="top"/>
    </xf>
    <xf numFmtId="2" fontId="7" fillId="6" borderId="0" xfId="173" applyNumberFormat="1" applyFont="1" applyFill="1" applyAlignment="1">
      <alignment horizontal="center" vertical="top"/>
    </xf>
    <xf numFmtId="169" fontId="3" fillId="6" borderId="0" xfId="173" applyNumberFormat="1" applyFont="1" applyFill="1" applyAlignment="1">
      <alignment horizontal="center" vertical="top"/>
    </xf>
    <xf numFmtId="2" fontId="4" fillId="6" borderId="0" xfId="173" applyNumberFormat="1" applyFont="1" applyFill="1" applyAlignment="1">
      <alignment horizontal="center" vertical="top"/>
    </xf>
    <xf numFmtId="0" fontId="2" fillId="6" borderId="0" xfId="173" applyFont="1" applyFill="1" applyAlignment="1">
      <alignment vertical="top"/>
    </xf>
    <xf numFmtId="0" fontId="2" fillId="9" borderId="4" xfId="173" applyFont="1" applyFill="1" applyBorder="1" applyAlignment="1">
      <alignment vertical="top"/>
    </xf>
    <xf numFmtId="169" fontId="3" fillId="6" borderId="4" xfId="173" applyNumberFormat="1" applyFont="1" applyFill="1" applyBorder="1" applyAlignment="1">
      <alignment horizontal="center" vertical="top"/>
    </xf>
    <xf numFmtId="0" fontId="9" fillId="11" borderId="4" xfId="173" applyFont="1" applyFill="1" applyBorder="1" applyAlignment="1">
      <alignment vertical="top"/>
    </xf>
    <xf numFmtId="0" fontId="2" fillId="6" borderId="4" xfId="173" applyFont="1" applyFill="1" applyBorder="1" applyAlignment="1">
      <alignment vertical="top"/>
    </xf>
    <xf numFmtId="0" fontId="1" fillId="0" borderId="0" xfId="173" applyAlignment="1">
      <alignment wrapText="1"/>
    </xf>
    <xf numFmtId="0" fontId="1" fillId="6" borderId="0" xfId="173" applyFill="1" applyAlignment="1">
      <alignment horizontal="center" vertical="center"/>
    </xf>
    <xf numFmtId="169" fontId="1" fillId="6" borderId="0" xfId="173" applyNumberFormat="1" applyFill="1"/>
    <xf numFmtId="0" fontId="10" fillId="0" borderId="4" xfId="173" applyFont="1" applyBorder="1"/>
    <xf numFmtId="0" fontId="10" fillId="0" borderId="4" xfId="173" applyFont="1" applyBorder="1" applyAlignment="1">
      <alignment wrapText="1"/>
    </xf>
    <xf numFmtId="0" fontId="10" fillId="6" borderId="4" xfId="173" applyFont="1" applyFill="1" applyBorder="1"/>
    <xf numFmtId="0" fontId="10" fillId="0" borderId="4" xfId="173" applyFont="1" applyBorder="1" applyAlignment="1">
      <alignment horizontal="center" vertical="center"/>
    </xf>
    <xf numFmtId="0" fontId="11" fillId="0" borderId="4" xfId="173" applyFont="1" applyBorder="1" applyAlignment="1">
      <alignment horizontal="center" vertical="center"/>
    </xf>
    <xf numFmtId="0" fontId="11" fillId="6" borderId="4" xfId="173" applyFont="1" applyFill="1" applyBorder="1" applyAlignment="1">
      <alignment horizontal="center" vertical="center"/>
    </xf>
    <xf numFmtId="0" fontId="10" fillId="0" borderId="4" xfId="173" applyFont="1" applyBorder="1" applyAlignment="1">
      <alignment horizontal="left" vertical="center"/>
    </xf>
    <xf numFmtId="0" fontId="10" fillId="6" borderId="4" xfId="173" applyFont="1" applyFill="1" applyBorder="1" applyAlignment="1">
      <alignment horizontal="left" vertical="center"/>
    </xf>
    <xf numFmtId="0" fontId="10" fillId="6" borderId="4" xfId="173" applyFont="1" applyFill="1" applyBorder="1" applyAlignment="1">
      <alignment horizontal="left" vertical="center" wrapText="1"/>
    </xf>
    <xf numFmtId="167" fontId="10" fillId="13" borderId="4" xfId="173" applyNumberFormat="1" applyFont="1" applyFill="1" applyBorder="1" applyAlignment="1">
      <alignment horizontal="center" vertical="center"/>
    </xf>
    <xf numFmtId="164" fontId="3" fillId="14" borderId="4" xfId="295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173" applyFont="1" applyBorder="1" applyAlignment="1">
      <alignment wrapText="1"/>
    </xf>
    <xf numFmtId="0" fontId="2" fillId="6" borderId="4" xfId="173" applyFont="1" applyFill="1" applyBorder="1"/>
    <xf numFmtId="0" fontId="10" fillId="0" borderId="4" xfId="173" applyFont="1" applyBorder="1" applyAlignment="1">
      <alignment horizontal="left" vertical="center" wrapText="1"/>
    </xf>
    <xf numFmtId="167" fontId="10" fillId="13" borderId="21" xfId="173" applyNumberFormat="1" applyFont="1" applyFill="1" applyBorder="1" applyAlignment="1">
      <alignment horizontal="center" vertical="center"/>
    </xf>
    <xf numFmtId="164" fontId="3" fillId="14" borderId="4" xfId="173" applyNumberFormat="1" applyFont="1" applyFill="1" applyBorder="1" applyAlignment="1" applyProtection="1">
      <alignment horizontal="center" vertical="center" wrapText="1"/>
      <protection locked="0"/>
    </xf>
    <xf numFmtId="164" fontId="10" fillId="14" borderId="4" xfId="173" applyNumberFormat="1" applyFont="1" applyFill="1" applyBorder="1" applyAlignment="1" applyProtection="1">
      <alignment horizontal="center" vertical="center" wrapText="1"/>
      <protection locked="0"/>
    </xf>
    <xf numFmtId="164" fontId="10" fillId="14" borderId="23" xfId="173" applyNumberFormat="1" applyFont="1" applyFill="1" applyBorder="1" applyAlignment="1" applyProtection="1">
      <alignment horizontal="center" vertical="center" wrapText="1"/>
      <protection locked="0"/>
    </xf>
    <xf numFmtId="0" fontId="2" fillId="6" borderId="0" xfId="173" applyFont="1" applyFill="1" applyAlignment="1">
      <alignment horizontal="center" vertical="center"/>
    </xf>
    <xf numFmtId="169" fontId="2" fillId="6" borderId="0" xfId="173" applyNumberFormat="1" applyFont="1" applyFill="1"/>
    <xf numFmtId="2" fontId="3" fillId="0" borderId="5" xfId="173" applyNumberFormat="1" applyFont="1" applyBorder="1" applyAlignment="1">
      <alignment horizontal="center" vertical="center"/>
    </xf>
    <xf numFmtId="0" fontId="3" fillId="0" borderId="5" xfId="173" applyFont="1" applyBorder="1" applyAlignment="1">
      <alignment horizontal="center" vertical="center"/>
    </xf>
    <xf numFmtId="0" fontId="10" fillId="6" borderId="4" xfId="173" applyFont="1" applyFill="1" applyBorder="1" applyAlignment="1">
      <alignment horizontal="center" vertical="center"/>
    </xf>
    <xf numFmtId="169" fontId="10" fillId="6" borderId="4" xfId="173" applyNumberFormat="1" applyFont="1" applyFill="1" applyBorder="1"/>
    <xf numFmtId="2" fontId="8" fillId="6" borderId="4" xfId="173" applyNumberFormat="1" applyFont="1" applyFill="1" applyBorder="1" applyAlignment="1">
      <alignment horizontal="center" vertical="center"/>
    </xf>
    <xf numFmtId="2" fontId="3" fillId="0" borderId="4" xfId="173" applyNumberFormat="1" applyFont="1" applyBorder="1" applyAlignment="1">
      <alignment horizontal="center" vertical="center"/>
    </xf>
    <xf numFmtId="0" fontId="12" fillId="0" borderId="4" xfId="173" applyFont="1" applyBorder="1"/>
    <xf numFmtId="169" fontId="3" fillId="6" borderId="4" xfId="173" applyNumberFormat="1" applyFont="1" applyFill="1" applyBorder="1" applyAlignment="1">
      <alignment horizontal="center" vertical="center"/>
    </xf>
    <xf numFmtId="0" fontId="3" fillId="0" borderId="4" xfId="173" applyFont="1" applyBorder="1"/>
    <xf numFmtId="164" fontId="3" fillId="14" borderId="25" xfId="173" applyNumberFormat="1" applyFont="1" applyFill="1" applyBorder="1" applyAlignment="1" applyProtection="1">
      <alignment horizontal="center" vertical="center" wrapText="1"/>
      <protection locked="0"/>
    </xf>
    <xf numFmtId="0" fontId="11" fillId="6" borderId="16" xfId="173" applyFont="1" applyFill="1" applyBorder="1" applyAlignment="1">
      <alignment horizontal="center" vertical="center"/>
    </xf>
    <xf numFmtId="167" fontId="10" fillId="15" borderId="21" xfId="173" applyNumberFormat="1" applyFont="1" applyFill="1" applyBorder="1" applyAlignment="1">
      <alignment horizontal="center" vertical="center"/>
    </xf>
    <xf numFmtId="164" fontId="10" fillId="16" borderId="4" xfId="173" applyNumberFormat="1" applyFont="1" applyFill="1" applyBorder="1" applyAlignment="1" applyProtection="1">
      <alignment horizontal="center" vertical="center" wrapText="1"/>
      <protection locked="0"/>
    </xf>
    <xf numFmtId="167" fontId="10" fillId="15" borderId="4" xfId="173" applyNumberFormat="1" applyFont="1" applyFill="1" applyBorder="1" applyAlignment="1">
      <alignment horizontal="center" vertical="center"/>
    </xf>
    <xf numFmtId="164" fontId="10" fillId="16" borderId="23" xfId="173" applyNumberFormat="1" applyFont="1" applyFill="1" applyBorder="1" applyAlignment="1" applyProtection="1">
      <alignment horizontal="center" vertical="center" wrapText="1"/>
      <protection locked="0"/>
    </xf>
    <xf numFmtId="170" fontId="3" fillId="9" borderId="4" xfId="173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171" fontId="13" fillId="6" borderId="0" xfId="0" applyNumberFormat="1" applyFont="1" applyFill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right" wrapText="1"/>
    </xf>
    <xf numFmtId="0" fontId="14" fillId="17" borderId="5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left" vertical="center" wrapText="1"/>
    </xf>
    <xf numFmtId="49" fontId="14" fillId="17" borderId="5" xfId="0" applyNumberFormat="1" applyFont="1" applyFill="1" applyBorder="1" applyAlignment="1">
      <alignment horizontal="left" vertical="center" wrapText="1"/>
    </xf>
    <xf numFmtId="2" fontId="14" fillId="17" borderId="5" xfId="0" applyNumberFormat="1" applyFont="1" applyFill="1" applyBorder="1" applyAlignment="1">
      <alignment horizontal="left" vertical="center" wrapText="1"/>
    </xf>
    <xf numFmtId="49" fontId="15" fillId="18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vertical="top"/>
    </xf>
    <xf numFmtId="0" fontId="16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49" fontId="15" fillId="18" borderId="6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vertical="top"/>
    </xf>
    <xf numFmtId="0" fontId="16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5" fillId="18" borderId="26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28" xfId="0" applyNumberFormat="1" applyFont="1" applyBorder="1" applyAlignment="1">
      <alignment horizontal="left" vertical="center"/>
    </xf>
    <xf numFmtId="164" fontId="13" fillId="0" borderId="24" xfId="0" applyNumberFormat="1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5" fillId="18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/>
    </xf>
    <xf numFmtId="49" fontId="16" fillId="0" borderId="2" xfId="0" applyNumberFormat="1" applyFont="1" applyBorder="1" applyAlignment="1">
      <alignment horizontal="left" vertical="center"/>
    </xf>
    <xf numFmtId="164" fontId="13" fillId="0" borderId="2" xfId="0" applyNumberFormat="1" applyFont="1" applyBorder="1" applyAlignment="1">
      <alignment horizontal="left" vertical="center"/>
    </xf>
    <xf numFmtId="0" fontId="15" fillId="18" borderId="9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49" fontId="15" fillId="18" borderId="9" xfId="0" applyNumberFormat="1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49" fontId="15" fillId="18" borderId="29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center"/>
    </xf>
    <xf numFmtId="49" fontId="16" fillId="0" borderId="10" xfId="0" applyNumberFormat="1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5" fillId="18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top"/>
    </xf>
    <xf numFmtId="0" fontId="13" fillId="6" borderId="8" xfId="0" applyFont="1" applyFill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164" fontId="13" fillId="0" borderId="8" xfId="0" applyNumberFormat="1" applyFont="1" applyBorder="1" applyAlignment="1">
      <alignment horizontal="left" vertical="center"/>
    </xf>
    <xf numFmtId="0" fontId="15" fillId="18" borderId="3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center"/>
    </xf>
    <xf numFmtId="49" fontId="16" fillId="0" borderId="20" xfId="0" applyNumberFormat="1" applyFont="1" applyBorder="1" applyAlignment="1">
      <alignment horizontal="left" vertical="center"/>
    </xf>
    <xf numFmtId="164" fontId="13" fillId="0" borderId="20" xfId="0" applyNumberFormat="1" applyFont="1" applyBorder="1" applyAlignment="1">
      <alignment horizontal="left" vertical="center"/>
    </xf>
    <xf numFmtId="49" fontId="15" fillId="18" borderId="3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left" vertical="center"/>
    </xf>
    <xf numFmtId="0" fontId="15" fillId="18" borderId="29" xfId="0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horizontal="right"/>
    </xf>
    <xf numFmtId="0" fontId="16" fillId="19" borderId="10" xfId="0" applyFont="1" applyFill="1" applyBorder="1" applyAlignment="1">
      <alignment horizontal="left" vertical="center"/>
    </xf>
    <xf numFmtId="0" fontId="16" fillId="19" borderId="4" xfId="0" applyFont="1" applyFill="1" applyBorder="1" applyAlignment="1">
      <alignment horizontal="left" vertical="center"/>
    </xf>
    <xf numFmtId="0" fontId="16" fillId="20" borderId="4" xfId="0" applyFont="1" applyFill="1" applyBorder="1" applyAlignment="1">
      <alignment horizontal="left" vertical="center"/>
    </xf>
    <xf numFmtId="49" fontId="16" fillId="20" borderId="4" xfId="0" applyNumberFormat="1" applyFont="1" applyFill="1" applyBorder="1" applyAlignment="1">
      <alignment horizontal="left" vertical="center"/>
    </xf>
    <xf numFmtId="164" fontId="13" fillId="6" borderId="4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/>
    </xf>
    <xf numFmtId="0" fontId="15" fillId="18" borderId="32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left" vertical="top"/>
    </xf>
    <xf numFmtId="0" fontId="16" fillId="0" borderId="24" xfId="0" applyFont="1" applyBorder="1" applyAlignment="1">
      <alignment horizontal="left" vertical="center"/>
    </xf>
    <xf numFmtId="49" fontId="16" fillId="0" borderId="24" xfId="0" applyNumberFormat="1" applyFont="1" applyBorder="1" applyAlignment="1">
      <alignment horizontal="left" vertical="center"/>
    </xf>
    <xf numFmtId="172" fontId="14" fillId="17" borderId="5" xfId="0" applyNumberFormat="1" applyFont="1" applyFill="1" applyBorder="1" applyAlignment="1">
      <alignment horizontal="center" vertical="center" wrapText="1"/>
    </xf>
    <xf numFmtId="173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3" fontId="16" fillId="0" borderId="2" xfId="0" applyNumberFormat="1" applyFont="1" applyBorder="1" applyAlignment="1">
      <alignment horizontal="left" vertical="center"/>
    </xf>
    <xf numFmtId="164" fontId="13" fillId="6" borderId="2" xfId="0" applyNumberFormat="1" applyFont="1" applyFill="1" applyBorder="1" applyAlignment="1">
      <alignment horizontal="center" vertical="center"/>
    </xf>
    <xf numFmtId="173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3" fontId="16" fillId="0" borderId="8" xfId="0" applyNumberFormat="1" applyFont="1" applyBorder="1" applyAlignment="1">
      <alignment horizontal="left" vertical="center"/>
    </xf>
    <xf numFmtId="164" fontId="13" fillId="6" borderId="8" xfId="0" applyNumberFormat="1" applyFont="1" applyFill="1" applyBorder="1" applyAlignment="1">
      <alignment horizontal="center" vertical="center"/>
    </xf>
    <xf numFmtId="173" fontId="13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3" fontId="16" fillId="0" borderId="24" xfId="0" applyNumberFormat="1" applyFont="1" applyBorder="1" applyAlignment="1">
      <alignment horizontal="left" vertical="center"/>
    </xf>
    <xf numFmtId="164" fontId="13" fillId="6" borderId="24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3" fontId="13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73" fontId="16" fillId="0" borderId="5" xfId="0" applyNumberFormat="1" applyFont="1" applyBorder="1" applyAlignment="1">
      <alignment horizontal="left" vertical="center"/>
    </xf>
    <xf numFmtId="164" fontId="13" fillId="6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173" fontId="13" fillId="0" borderId="5" xfId="0" applyNumberFormat="1" applyFont="1" applyBorder="1" applyAlignment="1">
      <alignment horizontal="left" vertical="center"/>
    </xf>
    <xf numFmtId="173" fontId="13" fillId="0" borderId="2" xfId="0" applyNumberFormat="1" applyFont="1" applyBorder="1" applyAlignment="1">
      <alignment horizontal="left" vertical="center"/>
    </xf>
    <xf numFmtId="173" fontId="13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3" fontId="16" fillId="0" borderId="10" xfId="0" applyNumberFormat="1" applyFont="1" applyBorder="1" applyAlignment="1">
      <alignment horizontal="left" vertical="center"/>
    </xf>
    <xf numFmtId="164" fontId="13" fillId="6" borderId="10" xfId="0" applyNumberFormat="1" applyFont="1" applyFill="1" applyBorder="1" applyAlignment="1">
      <alignment horizontal="center" vertical="center"/>
    </xf>
    <xf numFmtId="173" fontId="13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3" fontId="16" fillId="0" borderId="4" xfId="0" applyNumberFormat="1" applyFont="1" applyBorder="1" applyAlignment="1">
      <alignment horizontal="left" vertical="center"/>
    </xf>
    <xf numFmtId="164" fontId="13" fillId="6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173" fontId="13" fillId="0" borderId="8" xfId="0" applyNumberFormat="1" applyFont="1" applyBorder="1" applyAlignment="1">
      <alignment horizontal="left" vertical="center"/>
    </xf>
    <xf numFmtId="173" fontId="13" fillId="0" borderId="20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73" fontId="16" fillId="0" borderId="20" xfId="0" applyNumberFormat="1" applyFont="1" applyBorder="1" applyAlignment="1">
      <alignment horizontal="left" vertical="center"/>
    </xf>
    <xf numFmtId="164" fontId="13" fillId="6" borderId="20" xfId="0" applyNumberFormat="1" applyFont="1" applyFill="1" applyBorder="1" applyAlignment="1">
      <alignment horizontal="center" vertical="center"/>
    </xf>
    <xf numFmtId="164" fontId="13" fillId="21" borderId="20" xfId="0" applyNumberFormat="1" applyFont="1" applyFill="1" applyBorder="1" applyAlignment="1">
      <alignment horizontal="center" vertical="center"/>
    </xf>
    <xf numFmtId="173" fontId="16" fillId="0" borderId="5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center" vertical="center"/>
    </xf>
    <xf numFmtId="173" fontId="13" fillId="0" borderId="4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top"/>
    </xf>
    <xf numFmtId="173" fontId="13" fillId="10" borderId="5" xfId="0" applyNumberFormat="1" applyFont="1" applyFill="1" applyBorder="1" applyAlignment="1">
      <alignment horizontal="center" vertical="center"/>
    </xf>
    <xf numFmtId="173" fontId="13" fillId="6" borderId="4" xfId="0" applyNumberFormat="1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center" vertical="center"/>
    </xf>
    <xf numFmtId="173" fontId="16" fillId="0" borderId="4" xfId="0" applyNumberFormat="1" applyFont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71" fontId="14" fillId="6" borderId="5" xfId="0" applyNumberFormat="1" applyFont="1" applyFill="1" applyBorder="1" applyAlignment="1">
      <alignment horizontal="center" vertical="center" wrapText="1"/>
    </xf>
    <xf numFmtId="171" fontId="13" fillId="9" borderId="2" xfId="0" applyNumberFormat="1" applyFont="1" applyFill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171" fontId="13" fillId="9" borderId="8" xfId="0" applyNumberFormat="1" applyFont="1" applyFill="1" applyBorder="1" applyAlignment="1">
      <alignment horizontal="center" vertical="center"/>
    </xf>
    <xf numFmtId="164" fontId="13" fillId="0" borderId="33" xfId="0" applyNumberFormat="1" applyFont="1" applyBorder="1" applyAlignment="1">
      <alignment horizontal="center" vertical="center"/>
    </xf>
    <xf numFmtId="171" fontId="13" fillId="9" borderId="27" xfId="0" applyNumberFormat="1" applyFont="1" applyFill="1" applyBorder="1" applyAlignment="1">
      <alignment horizontal="center" vertical="center"/>
    </xf>
    <xf numFmtId="171" fontId="13" fillId="9" borderId="5" xfId="0" applyNumberFormat="1" applyFont="1" applyFill="1" applyBorder="1" applyAlignment="1">
      <alignment horizontal="center" vertical="center"/>
    </xf>
    <xf numFmtId="171" fontId="13" fillId="6" borderId="5" xfId="0" applyNumberFormat="1" applyFont="1" applyFill="1" applyBorder="1" applyAlignment="1">
      <alignment horizontal="center" vertical="center"/>
    </xf>
    <xf numFmtId="171" fontId="13" fillId="9" borderId="10" xfId="0" applyNumberFormat="1" applyFont="1" applyFill="1" applyBorder="1" applyAlignment="1">
      <alignment horizontal="center" vertical="center"/>
    </xf>
    <xf numFmtId="171" fontId="13" fillId="9" borderId="4" xfId="0" applyNumberFormat="1" applyFont="1" applyFill="1" applyBorder="1" applyAlignment="1">
      <alignment horizontal="center" vertical="center"/>
    </xf>
    <xf numFmtId="164" fontId="13" fillId="0" borderId="0" xfId="0" applyNumberFormat="1" applyFont="1"/>
    <xf numFmtId="171" fontId="13" fillId="6" borderId="10" xfId="0" applyNumberFormat="1" applyFont="1" applyFill="1" applyBorder="1" applyAlignment="1">
      <alignment horizontal="center" vertical="center"/>
    </xf>
    <xf numFmtId="171" fontId="13" fillId="6" borderId="4" xfId="0" applyNumberFormat="1" applyFont="1" applyFill="1" applyBorder="1" applyAlignment="1">
      <alignment horizontal="center" vertical="center"/>
    </xf>
    <xf numFmtId="164" fontId="13" fillId="0" borderId="34" xfId="0" applyNumberFormat="1" applyFont="1" applyBorder="1" applyAlignment="1">
      <alignment horizontal="center" vertical="center"/>
    </xf>
    <xf numFmtId="164" fontId="13" fillId="0" borderId="35" xfId="0" applyNumberFormat="1" applyFont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/>
    </xf>
    <xf numFmtId="49" fontId="16" fillId="0" borderId="8" xfId="0" applyNumberFormat="1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49" fontId="16" fillId="6" borderId="2" xfId="0" applyNumberFormat="1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49" fontId="16" fillId="6" borderId="4" xfId="0" applyNumberFormat="1" applyFont="1" applyFill="1" applyBorder="1" applyAlignment="1">
      <alignment horizontal="left" vertical="center"/>
    </xf>
    <xf numFmtId="0" fontId="16" fillId="6" borderId="2" xfId="254" applyFont="1" applyFill="1" applyBorder="1" applyAlignment="1">
      <alignment horizontal="left" vertical="center"/>
    </xf>
    <xf numFmtId="0" fontId="13" fillId="0" borderId="2" xfId="254" applyFont="1" applyBorder="1" applyAlignment="1">
      <alignment horizontal="center"/>
    </xf>
    <xf numFmtId="0" fontId="17" fillId="19" borderId="8" xfId="0" applyFont="1" applyFill="1" applyBorder="1" applyAlignment="1">
      <alignment horizontal="left" vertical="center"/>
    </xf>
    <xf numFmtId="49" fontId="17" fillId="0" borderId="8" xfId="0" applyNumberFormat="1" applyFont="1" applyBorder="1" applyAlignment="1">
      <alignment horizontal="left" vertical="center"/>
    </xf>
    <xf numFmtId="0" fontId="17" fillId="19" borderId="20" xfId="0" applyFont="1" applyFill="1" applyBorder="1" applyAlignment="1">
      <alignment horizontal="left" vertical="center"/>
    </xf>
    <xf numFmtId="0" fontId="17" fillId="19" borderId="7" xfId="0" applyFont="1" applyFill="1" applyBorder="1" applyAlignment="1">
      <alignment horizontal="left" vertical="center"/>
    </xf>
    <xf numFmtId="49" fontId="17" fillId="0" borderId="20" xfId="0" applyNumberFormat="1" applyFont="1" applyBorder="1" applyAlignment="1">
      <alignment horizontal="left" vertical="center"/>
    </xf>
    <xf numFmtId="49" fontId="17" fillId="0" borderId="4" xfId="0" applyNumberFormat="1" applyFont="1" applyBorder="1" applyAlignment="1">
      <alignment horizontal="left" vertical="center"/>
    </xf>
    <xf numFmtId="49" fontId="17" fillId="0" borderId="24" xfId="0" applyNumberFormat="1" applyFont="1" applyBorder="1" applyAlignment="1">
      <alignment horizontal="left" vertical="center"/>
    </xf>
    <xf numFmtId="2" fontId="16" fillId="0" borderId="2" xfId="0" applyNumberFormat="1" applyFont="1" applyBorder="1" applyAlignment="1">
      <alignment horizontal="left" vertical="center" wrapText="1"/>
    </xf>
    <xf numFmtId="0" fontId="16" fillId="19" borderId="8" xfId="0" applyFont="1" applyFill="1" applyBorder="1" applyAlignment="1">
      <alignment horizontal="left" vertical="center"/>
    </xf>
    <xf numFmtId="0" fontId="15" fillId="18" borderId="18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left" vertical="top"/>
    </xf>
    <xf numFmtId="0" fontId="16" fillId="0" borderId="36" xfId="0" applyFont="1" applyBorder="1" applyAlignment="1">
      <alignment horizontal="left" vertical="center"/>
    </xf>
    <xf numFmtId="164" fontId="13" fillId="0" borderId="36" xfId="0" applyNumberFormat="1" applyFont="1" applyBorder="1" applyAlignment="1">
      <alignment horizontal="left" vertical="center"/>
    </xf>
    <xf numFmtId="0" fontId="15" fillId="18" borderId="1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top"/>
    </xf>
    <xf numFmtId="0" fontId="16" fillId="0" borderId="7" xfId="0" applyFont="1" applyBorder="1" applyAlignment="1">
      <alignment horizontal="left" vertical="center"/>
    </xf>
    <xf numFmtId="164" fontId="13" fillId="0" borderId="7" xfId="0" applyNumberFormat="1" applyFont="1" applyBorder="1" applyAlignment="1">
      <alignment horizontal="left" vertical="center"/>
    </xf>
    <xf numFmtId="0" fontId="18" fillId="22" borderId="20" xfId="0" applyFont="1" applyFill="1" applyBorder="1" applyAlignment="1">
      <alignment horizontal="left" vertical="center"/>
    </xf>
    <xf numFmtId="49" fontId="18" fillId="22" borderId="20" xfId="0" applyNumberFormat="1" applyFont="1" applyFill="1" applyBorder="1" applyAlignment="1">
      <alignment horizontal="left" vertical="center"/>
    </xf>
    <xf numFmtId="164" fontId="18" fillId="22" borderId="20" xfId="0" applyNumberFormat="1" applyFont="1" applyFill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173" fontId="16" fillId="6" borderId="2" xfId="0" applyNumberFormat="1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center" vertical="center"/>
    </xf>
    <xf numFmtId="173" fontId="16" fillId="6" borderId="4" xfId="0" applyNumberFormat="1" applyFont="1" applyFill="1" applyBorder="1" applyAlignment="1">
      <alignment horizontal="left" vertical="center" wrapText="1"/>
    </xf>
    <xf numFmtId="173" fontId="16" fillId="0" borderId="2" xfId="0" applyNumberFormat="1" applyFont="1" applyBorder="1" applyAlignment="1">
      <alignment horizontal="left" vertical="center" wrapText="1"/>
    </xf>
    <xf numFmtId="164" fontId="13" fillId="21" borderId="4" xfId="0" applyNumberFormat="1" applyFont="1" applyFill="1" applyBorder="1" applyAlignment="1">
      <alignment horizontal="center" vertical="center"/>
    </xf>
    <xf numFmtId="164" fontId="13" fillId="21" borderId="24" xfId="0" applyNumberFormat="1" applyFont="1" applyFill="1" applyBorder="1" applyAlignment="1">
      <alignment horizontal="center" vertical="center"/>
    </xf>
    <xf numFmtId="173" fontId="16" fillId="0" borderId="8" xfId="0" applyNumberFormat="1" applyFont="1" applyBorder="1" applyAlignment="1">
      <alignment horizontal="left" vertical="center" wrapText="1"/>
    </xf>
    <xf numFmtId="173" fontId="13" fillId="0" borderId="36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73" fontId="16" fillId="0" borderId="36" xfId="0" applyNumberFormat="1" applyFont="1" applyBorder="1" applyAlignment="1">
      <alignment horizontal="left" vertical="center"/>
    </xf>
    <xf numFmtId="164" fontId="13" fillId="6" borderId="36" xfId="0" applyNumberFormat="1" applyFont="1" applyFill="1" applyBorder="1" applyAlignment="1">
      <alignment horizontal="center" vertical="center"/>
    </xf>
    <xf numFmtId="173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3" fontId="16" fillId="0" borderId="7" xfId="0" applyNumberFormat="1" applyFont="1" applyBorder="1" applyAlignment="1">
      <alignment horizontal="left" vertical="center"/>
    </xf>
    <xf numFmtId="164" fontId="13" fillId="6" borderId="7" xfId="0" applyNumberFormat="1" applyFont="1" applyFill="1" applyBorder="1" applyAlignment="1">
      <alignment horizontal="center" vertical="center"/>
    </xf>
    <xf numFmtId="164" fontId="18" fillId="22" borderId="20" xfId="0" applyNumberFormat="1" applyFont="1" applyFill="1" applyBorder="1" applyAlignment="1">
      <alignment horizontal="center" vertical="center"/>
    </xf>
    <xf numFmtId="164" fontId="13" fillId="21" borderId="2" xfId="0" applyNumberFormat="1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64" fontId="13" fillId="0" borderId="36" xfId="0" applyNumberFormat="1" applyFont="1" applyBorder="1" applyAlignment="1">
      <alignment horizontal="center" vertical="center"/>
    </xf>
    <xf numFmtId="164" fontId="13" fillId="21" borderId="7" xfId="0" applyNumberFormat="1" applyFont="1" applyFill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71" fontId="13" fillId="9" borderId="25" xfId="0" applyNumberFormat="1" applyFont="1" applyFill="1" applyBorder="1" applyAlignment="1">
      <alignment horizontal="center" vertical="center"/>
    </xf>
    <xf numFmtId="164" fontId="13" fillId="0" borderId="37" xfId="0" applyNumberFormat="1" applyFont="1" applyBorder="1" applyAlignment="1">
      <alignment horizontal="center" vertical="center"/>
    </xf>
    <xf numFmtId="171" fontId="13" fillId="9" borderId="38" xfId="0" applyNumberFormat="1" applyFont="1" applyFill="1" applyBorder="1" applyAlignment="1">
      <alignment horizontal="center" vertical="center"/>
    </xf>
    <xf numFmtId="171" fontId="13" fillId="9" borderId="39" xfId="0" applyNumberFormat="1" applyFont="1" applyFill="1" applyBorder="1" applyAlignment="1">
      <alignment horizontal="center" vertical="center"/>
    </xf>
    <xf numFmtId="171" fontId="13" fillId="9" borderId="40" xfId="0" applyNumberFormat="1" applyFont="1" applyFill="1" applyBorder="1" applyAlignment="1">
      <alignment horizontal="center" vertical="center"/>
    </xf>
    <xf numFmtId="164" fontId="13" fillId="0" borderId="41" xfId="0" applyNumberFormat="1" applyFont="1" applyBorder="1" applyAlignment="1">
      <alignment horizontal="center" vertical="center"/>
    </xf>
    <xf numFmtId="171" fontId="13" fillId="9" borderId="42" xfId="0" applyNumberFormat="1" applyFont="1" applyFill="1" applyBorder="1" applyAlignment="1">
      <alignment horizontal="center" vertical="center"/>
    </xf>
    <xf numFmtId="171" fontId="13" fillId="6" borderId="25" xfId="0" applyNumberFormat="1" applyFont="1" applyFill="1" applyBorder="1" applyAlignment="1">
      <alignment horizontal="center" vertical="center"/>
    </xf>
    <xf numFmtId="0" fontId="13" fillId="9" borderId="0" xfId="0" applyFont="1" applyFill="1"/>
    <xf numFmtId="164" fontId="13" fillId="6" borderId="0" xfId="0" applyNumberFormat="1" applyFont="1" applyFill="1" applyAlignment="1">
      <alignment horizontal="center" vertical="center"/>
    </xf>
    <xf numFmtId="171" fontId="13" fillId="6" borderId="40" xfId="0" applyNumberFormat="1" applyFont="1" applyFill="1" applyBorder="1" applyAlignment="1">
      <alignment horizontal="center" vertical="center"/>
    </xf>
    <xf numFmtId="171" fontId="13" fillId="6" borderId="42" xfId="0" applyNumberFormat="1" applyFont="1" applyFill="1" applyBorder="1" applyAlignment="1">
      <alignment horizontal="center" vertical="center"/>
    </xf>
    <xf numFmtId="171" fontId="13" fillId="9" borderId="43" xfId="0" applyNumberFormat="1" applyFont="1" applyFill="1" applyBorder="1" applyAlignment="1">
      <alignment horizontal="center" vertical="center"/>
    </xf>
    <xf numFmtId="164" fontId="13" fillId="0" borderId="44" xfId="0" applyNumberFormat="1" applyFont="1" applyBorder="1" applyAlignment="1">
      <alignment horizontal="center" vertical="center"/>
    </xf>
    <xf numFmtId="171" fontId="13" fillId="9" borderId="45" xfId="0" applyNumberFormat="1" applyFont="1" applyFill="1" applyBorder="1" applyAlignment="1">
      <alignment horizontal="center" vertical="center"/>
    </xf>
    <xf numFmtId="171" fontId="18" fillId="6" borderId="20" xfId="0" applyNumberFormat="1" applyFont="1" applyFill="1" applyBorder="1" applyAlignment="1">
      <alignment horizontal="center" vertical="center"/>
    </xf>
    <xf numFmtId="1" fontId="13" fillId="6" borderId="0" xfId="0" applyNumberFormat="1" applyFont="1" applyFill="1" applyAlignment="1">
      <alignment horizontal="center" vertical="center"/>
    </xf>
    <xf numFmtId="164" fontId="13" fillId="21" borderId="8" xfId="0" applyNumberFormat="1" applyFont="1" applyFill="1" applyBorder="1" applyAlignment="1">
      <alignment horizontal="center" vertical="center"/>
    </xf>
    <xf numFmtId="171" fontId="13" fillId="6" borderId="27" xfId="0" applyNumberFormat="1" applyFont="1" applyFill="1" applyBorder="1" applyAlignment="1">
      <alignment horizontal="center" vertical="center"/>
    </xf>
    <xf numFmtId="169" fontId="24" fillId="9" borderId="5" xfId="173" applyNumberFormat="1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/>
    </xf>
    <xf numFmtId="0" fontId="16" fillId="6" borderId="10" xfId="0" applyFont="1" applyFill="1" applyBorder="1" applyAlignment="1">
      <alignment horizontal="left" vertical="center"/>
    </xf>
    <xf numFmtId="49" fontId="13" fillId="0" borderId="10" xfId="0" applyNumberFormat="1" applyFont="1" applyBorder="1" applyAlignment="1">
      <alignment horizontal="center" vertical="center"/>
    </xf>
    <xf numFmtId="173" fontId="13" fillId="0" borderId="10" xfId="0" applyNumberFormat="1" applyFont="1" applyBorder="1" applyAlignment="1">
      <alignment horizontal="left" vertical="center"/>
    </xf>
    <xf numFmtId="164" fontId="13" fillId="0" borderId="47" xfId="0" applyNumberFormat="1" applyFont="1" applyBorder="1" applyAlignment="1">
      <alignment horizontal="center" vertical="center"/>
    </xf>
    <xf numFmtId="0" fontId="16" fillId="19" borderId="24" xfId="0" applyFont="1" applyFill="1" applyBorder="1" applyAlignment="1">
      <alignment horizontal="left" vertical="center"/>
    </xf>
    <xf numFmtId="164" fontId="13" fillId="0" borderId="48" xfId="0" applyNumberFormat="1" applyFont="1" applyBorder="1" applyAlignment="1">
      <alignment horizontal="center" vertical="center"/>
    </xf>
    <xf numFmtId="49" fontId="16" fillId="0" borderId="36" xfId="0" applyNumberFormat="1" applyFont="1" applyBorder="1" applyAlignment="1">
      <alignment horizontal="left" vertical="center"/>
    </xf>
    <xf numFmtId="171" fontId="13" fillId="6" borderId="43" xfId="0" applyNumberFormat="1" applyFont="1" applyFill="1" applyBorder="1" applyAlignment="1">
      <alignment horizontal="center" vertical="center"/>
    </xf>
    <xf numFmtId="164" fontId="13" fillId="0" borderId="19" xfId="0" applyNumberFormat="1" applyFont="1" applyBorder="1" applyAlignment="1">
      <alignment horizontal="center" vertical="center"/>
    </xf>
    <xf numFmtId="173" fontId="16" fillId="0" borderId="4" xfId="0" applyNumberFormat="1" applyFont="1" applyBorder="1" applyAlignment="1">
      <alignment horizontal="center" vertical="center"/>
    </xf>
    <xf numFmtId="173" fontId="16" fillId="0" borderId="5" xfId="0" applyNumberFormat="1" applyFont="1" applyBorder="1" applyAlignment="1">
      <alignment horizontal="center" vertical="center"/>
    </xf>
    <xf numFmtId="173" fontId="16" fillId="0" borderId="4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20" borderId="4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left" vertical="center"/>
    </xf>
    <xf numFmtId="164" fontId="13" fillId="6" borderId="4" xfId="0" applyNumberFormat="1" applyFont="1" applyFill="1" applyBorder="1" applyAlignment="1">
      <alignment horizontal="left" vertical="center"/>
    </xf>
    <xf numFmtId="164" fontId="13" fillId="0" borderId="2" xfId="0" applyNumberFormat="1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left" vertical="center"/>
    </xf>
    <xf numFmtId="164" fontId="16" fillId="0" borderId="8" xfId="0" applyNumberFormat="1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8" fillId="22" borderId="20" xfId="0" applyFont="1" applyFill="1" applyBorder="1" applyAlignment="1">
      <alignment horizontal="left" vertical="top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0" fillId="0" borderId="4" xfId="173" applyFont="1" applyBorder="1" applyAlignment="1">
      <alignment horizontal="center" vertical="center"/>
    </xf>
    <xf numFmtId="0" fontId="10" fillId="0" borderId="4" xfId="173" applyFont="1" applyBorder="1" applyAlignment="1">
      <alignment horizontal="center" vertical="center" wrapText="1"/>
    </xf>
    <xf numFmtId="0" fontId="3" fillId="0" borderId="5" xfId="173" applyFont="1" applyBorder="1" applyAlignment="1">
      <alignment horizontal="center" vertical="center"/>
    </xf>
    <xf numFmtId="0" fontId="3" fillId="0" borderId="24" xfId="173" applyFont="1" applyBorder="1" applyAlignment="1">
      <alignment horizontal="center" vertical="center"/>
    </xf>
    <xf numFmtId="0" fontId="3" fillId="0" borderId="20" xfId="173" applyFont="1" applyBorder="1" applyAlignment="1">
      <alignment horizontal="center" vertical="center"/>
    </xf>
    <xf numFmtId="0" fontId="10" fillId="0" borderId="21" xfId="173" applyFont="1" applyBorder="1" applyAlignment="1">
      <alignment horizontal="center"/>
    </xf>
    <xf numFmtId="0" fontId="10" fillId="0" borderId="22" xfId="173" applyFont="1" applyBorder="1" applyAlignment="1">
      <alignment horizontal="center"/>
    </xf>
    <xf numFmtId="0" fontId="10" fillId="0" borderId="16" xfId="173" applyFont="1" applyBorder="1" applyAlignment="1">
      <alignment horizontal="center"/>
    </xf>
    <xf numFmtId="0" fontId="3" fillId="0" borderId="4" xfId="173" applyFont="1" applyBorder="1" applyAlignment="1">
      <alignment horizontal="center" vertical="center"/>
    </xf>
    <xf numFmtId="0" fontId="10" fillId="0" borderId="4" xfId="173" applyFont="1" applyBorder="1" applyAlignment="1">
      <alignment horizontal="left"/>
    </xf>
    <xf numFmtId="0" fontId="3" fillId="0" borderId="4" xfId="173" applyFont="1" applyBorder="1" applyAlignment="1">
      <alignment horizontal="center"/>
    </xf>
    <xf numFmtId="169" fontId="10" fillId="6" borderId="4" xfId="173" applyNumberFormat="1" applyFont="1" applyFill="1" applyBorder="1" applyAlignment="1">
      <alignment horizontal="center" wrapText="1"/>
    </xf>
    <xf numFmtId="169" fontId="10" fillId="6" borderId="4" xfId="173" applyNumberFormat="1" applyFont="1" applyFill="1" applyBorder="1" applyAlignment="1">
      <alignment horizontal="center" vertical="center" wrapText="1"/>
    </xf>
    <xf numFmtId="0" fontId="10" fillId="6" borderId="4" xfId="173" applyFont="1" applyFill="1" applyBorder="1" applyAlignment="1">
      <alignment horizontal="center" vertical="center" wrapText="1"/>
    </xf>
    <xf numFmtId="0" fontId="25" fillId="0" borderId="4" xfId="173" applyFont="1" applyBorder="1" applyAlignment="1">
      <alignment horizontal="center" vertical="center"/>
    </xf>
    <xf numFmtId="0" fontId="2" fillId="0" borderId="5" xfId="173" applyFont="1" applyBorder="1" applyAlignment="1">
      <alignment horizontal="center" vertical="center"/>
    </xf>
    <xf numFmtId="0" fontId="2" fillId="0" borderId="20" xfId="173" applyFont="1" applyBorder="1" applyAlignment="1">
      <alignment horizontal="center" vertical="center"/>
    </xf>
    <xf numFmtId="0" fontId="2" fillId="0" borderId="4" xfId="173" applyFont="1" applyBorder="1" applyAlignment="1">
      <alignment horizontal="center" vertical="center"/>
    </xf>
    <xf numFmtId="0" fontId="2" fillId="0" borderId="4" xfId="173" applyFont="1" applyBorder="1" applyAlignment="1">
      <alignment horizontal="center" vertical="center" wrapText="1"/>
    </xf>
    <xf numFmtId="0" fontId="2" fillId="0" borderId="4" xfId="173" applyFont="1" applyBorder="1" applyAlignment="1">
      <alignment horizontal="center" wrapText="1"/>
    </xf>
    <xf numFmtId="0" fontId="2" fillId="0" borderId="5" xfId="173" applyFont="1" applyBorder="1" applyAlignment="1">
      <alignment horizontal="left" vertical="center"/>
    </xf>
    <xf numFmtId="0" fontId="2" fillId="0" borderId="20" xfId="173" applyFont="1" applyBorder="1" applyAlignment="1">
      <alignment horizontal="left" vertical="center"/>
    </xf>
    <xf numFmtId="0" fontId="3" fillId="0" borderId="0" xfId="173" applyFont="1" applyAlignment="1">
      <alignment horizontal="center" vertical="center"/>
    </xf>
    <xf numFmtId="0" fontId="2" fillId="0" borderId="0" xfId="173" applyFont="1" applyAlignment="1">
      <alignment horizontal="left"/>
    </xf>
    <xf numFmtId="0" fontId="4" fillId="0" borderId="0" xfId="173" applyFont="1" applyAlignment="1">
      <alignment horizontal="left"/>
    </xf>
    <xf numFmtId="2" fontId="4" fillId="11" borderId="5" xfId="173" applyNumberFormat="1" applyFont="1" applyFill="1" applyBorder="1" applyAlignment="1">
      <alignment horizontal="center" vertical="center"/>
    </xf>
    <xf numFmtId="2" fontId="4" fillId="11" borderId="20" xfId="173" applyNumberFormat="1" applyFont="1" applyFill="1" applyBorder="1" applyAlignment="1">
      <alignment horizontal="center" vertical="center"/>
    </xf>
    <xf numFmtId="0" fontId="2" fillId="0" borderId="4" xfId="173" applyFont="1" applyBorder="1" applyAlignment="1">
      <alignment horizontal="left" vertical="center"/>
    </xf>
    <xf numFmtId="0" fontId="2" fillId="0" borderId="11" xfId="173" applyFont="1" applyBorder="1" applyAlignment="1">
      <alignment horizontal="center" vertical="center"/>
    </xf>
    <xf numFmtId="0" fontId="2" fillId="0" borderId="12" xfId="173" applyFont="1" applyBorder="1" applyAlignment="1">
      <alignment horizontal="center" vertical="center" wrapText="1"/>
    </xf>
    <xf numFmtId="0" fontId="2" fillId="0" borderId="10" xfId="173" applyFont="1" applyBorder="1" applyAlignment="1">
      <alignment horizontal="center" wrapText="1"/>
    </xf>
    <xf numFmtId="0" fontId="2" fillId="0" borderId="20" xfId="173" applyFont="1" applyBorder="1" applyAlignment="1">
      <alignment horizontal="center" wrapText="1"/>
    </xf>
    <xf numFmtId="0" fontId="2" fillId="0" borderId="2" xfId="173" applyFont="1" applyBorder="1" applyAlignment="1">
      <alignment horizontal="center" vertical="center" wrapText="1"/>
    </xf>
    <xf numFmtId="0" fontId="2" fillId="0" borderId="2" xfId="173" applyFont="1" applyBorder="1" applyAlignment="1">
      <alignment horizontal="center" vertical="center"/>
    </xf>
    <xf numFmtId="0" fontId="2" fillId="0" borderId="1" xfId="173" applyFont="1" applyBorder="1" applyAlignment="1">
      <alignment horizontal="center" vertical="center"/>
    </xf>
    <xf numFmtId="0" fontId="2" fillId="0" borderId="3" xfId="173" applyFont="1" applyBorder="1" applyAlignment="1">
      <alignment horizontal="center" vertical="center"/>
    </xf>
    <xf numFmtId="0" fontId="2" fillId="0" borderId="2" xfId="173" applyFont="1" applyBorder="1" applyAlignment="1">
      <alignment horizontal="center" wrapText="1"/>
    </xf>
    <xf numFmtId="0" fontId="3" fillId="0" borderId="0" xfId="133" applyFont="1" applyAlignment="1">
      <alignment horizontal="center" vertical="center"/>
    </xf>
    <xf numFmtId="0" fontId="2" fillId="0" borderId="11" xfId="133" applyFont="1" applyBorder="1" applyAlignment="1">
      <alignment horizontal="center" vertical="center"/>
    </xf>
    <xf numFmtId="0" fontId="2" fillId="0" borderId="17" xfId="133" applyFont="1" applyBorder="1" applyAlignment="1">
      <alignment horizontal="center" vertical="center" wrapText="1"/>
    </xf>
    <xf numFmtId="0" fontId="2" fillId="0" borderId="0" xfId="133" applyFont="1" applyAlignment="1">
      <alignment horizontal="left"/>
    </xf>
    <xf numFmtId="0" fontId="4" fillId="0" borderId="0" xfId="133" applyFont="1" applyAlignment="1">
      <alignment horizontal="center"/>
    </xf>
    <xf numFmtId="0" fontId="2" fillId="0" borderId="2" xfId="133" applyFont="1" applyBorder="1" applyAlignment="1">
      <alignment horizontal="center" vertical="center" wrapText="1"/>
    </xf>
    <xf numFmtId="0" fontId="2" fillId="0" borderId="1" xfId="133" applyFont="1" applyBorder="1" applyAlignment="1">
      <alignment horizontal="center" vertical="center"/>
    </xf>
    <xf numFmtId="0" fontId="2" fillId="0" borderId="9" xfId="133" applyFont="1" applyBorder="1" applyAlignment="1">
      <alignment horizontal="center" vertical="center"/>
    </xf>
    <xf numFmtId="0" fontId="2" fillId="0" borderId="3" xfId="133" applyFont="1" applyBorder="1" applyAlignment="1">
      <alignment horizontal="center" vertical="center"/>
    </xf>
    <xf numFmtId="0" fontId="2" fillId="0" borderId="6" xfId="133" applyFont="1" applyBorder="1" applyAlignment="1">
      <alignment horizontal="center" vertical="center"/>
    </xf>
    <xf numFmtId="0" fontId="2" fillId="0" borderId="2" xfId="133" applyFont="1" applyBorder="1" applyAlignment="1">
      <alignment horizontal="center" vertical="center"/>
    </xf>
    <xf numFmtId="0" fontId="2" fillId="0" borderId="5" xfId="133" applyFont="1" applyBorder="1" applyAlignment="1">
      <alignment horizontal="center" vertical="center"/>
    </xf>
    <xf numFmtId="0" fontId="4" fillId="0" borderId="4" xfId="133" applyFont="1" applyBorder="1" applyAlignment="1">
      <alignment horizontal="center" vertical="center"/>
    </xf>
    <xf numFmtId="0" fontId="4" fillId="0" borderId="8" xfId="133" applyFont="1" applyBorder="1" applyAlignment="1">
      <alignment horizontal="center" vertical="center"/>
    </xf>
    <xf numFmtId="0" fontId="2" fillId="0" borderId="5" xfId="133" applyFont="1" applyBorder="1" applyAlignment="1">
      <alignment horizontal="center" vertical="center" wrapText="1"/>
    </xf>
    <xf numFmtId="0" fontId="2" fillId="0" borderId="2" xfId="133" applyFont="1" applyBorder="1" applyAlignment="1">
      <alignment horizontal="center" wrapText="1"/>
    </xf>
    <xf numFmtId="0" fontId="2" fillId="0" borderId="4" xfId="133" applyFont="1" applyBorder="1" applyAlignment="1">
      <alignment horizontal="center" vertical="center" wrapText="1"/>
    </xf>
    <xf numFmtId="0" fontId="2" fillId="0" borderId="4" xfId="133" applyFont="1" applyBorder="1" applyAlignment="1">
      <alignment horizontal="center" vertical="center"/>
    </xf>
    <xf numFmtId="0" fontId="2" fillId="0" borderId="8" xfId="133" applyFont="1" applyBorder="1" applyAlignment="1">
      <alignment horizontal="center" vertical="center"/>
    </xf>
    <xf numFmtId="0" fontId="4" fillId="0" borderId="5" xfId="173" applyFont="1" applyBorder="1" applyAlignment="1">
      <alignment horizontal="center" vertical="center"/>
    </xf>
    <xf numFmtId="0" fontId="4" fillId="0" borderId="7" xfId="173" applyFont="1" applyBorder="1" applyAlignment="1">
      <alignment horizontal="center" vertical="center"/>
    </xf>
    <xf numFmtId="0" fontId="4" fillId="0" borderId="5" xfId="133" applyFont="1" applyBorder="1" applyAlignment="1">
      <alignment horizontal="center" vertical="center"/>
    </xf>
    <xf numFmtId="0" fontId="4" fillId="0" borderId="7" xfId="133" applyFont="1" applyBorder="1" applyAlignment="1">
      <alignment horizontal="center" vertical="center"/>
    </xf>
    <xf numFmtId="0" fontId="4" fillId="0" borderId="10" xfId="133" applyFont="1" applyBorder="1" applyAlignment="1">
      <alignment horizontal="center" vertical="center"/>
    </xf>
    <xf numFmtId="0" fontId="4" fillId="0" borderId="0" xfId="133" applyFont="1" applyAlignment="1">
      <alignment horizontal="left"/>
    </xf>
    <xf numFmtId="0" fontId="2" fillId="0" borderId="12" xfId="133" applyFont="1" applyBorder="1" applyAlignment="1">
      <alignment horizontal="center" vertical="center" wrapText="1"/>
    </xf>
    <xf numFmtId="0" fontId="25" fillId="0" borderId="0" xfId="133" applyFont="1" applyAlignment="1">
      <alignment horizontal="center" vertical="center"/>
    </xf>
  </cellXfs>
  <cellStyles count="332">
    <cellStyle name="Excel Built-in Explanatory Text" xfId="1"/>
    <cellStyle name="Hyperlink" xfId="2"/>
    <cellStyle name="SAPBEXaggData" xfId="3"/>
    <cellStyle name="SAPBEXaggData 2" xfId="4"/>
    <cellStyle name="SAPBEXaggData 2 2" xfId="5"/>
    <cellStyle name="SAPBEXaggData 2 3" xfId="6"/>
    <cellStyle name="SAPBEXaggData 3" xfId="7"/>
    <cellStyle name="SAPBEXaggData 4" xfId="8"/>
    <cellStyle name="SAPBEXaggItem" xfId="9"/>
    <cellStyle name="SAPBEXaggItem 10" xfId="10"/>
    <cellStyle name="SAPBEXaggItem 11" xfId="11"/>
    <cellStyle name="SAPBEXaggItem 12" xfId="12"/>
    <cellStyle name="SAPBEXaggItem 13" xfId="13"/>
    <cellStyle name="SAPBEXaggItem 2" xfId="14"/>
    <cellStyle name="SAPBEXaggItem 2 10" xfId="15"/>
    <cellStyle name="SAPBEXaggItem 2 11" xfId="16"/>
    <cellStyle name="SAPBEXaggItem 2 2" xfId="17"/>
    <cellStyle name="SAPBEXaggItem 2 2 2" xfId="18"/>
    <cellStyle name="SAPBEXaggItem 2 2 3" xfId="19"/>
    <cellStyle name="SAPBEXaggItem 2 2 4" xfId="20"/>
    <cellStyle name="SAPBEXaggItem 2 2 5" xfId="21"/>
    <cellStyle name="SAPBEXaggItem 2 3" xfId="22"/>
    <cellStyle name="SAPBEXaggItem 2 4" xfId="23"/>
    <cellStyle name="SAPBEXaggItem 2 5" xfId="24"/>
    <cellStyle name="SAPBEXaggItem 2 6" xfId="25"/>
    <cellStyle name="SAPBEXaggItem 2 7" xfId="26"/>
    <cellStyle name="SAPBEXaggItem 2 8" xfId="27"/>
    <cellStyle name="SAPBEXaggItem 2 9" xfId="28"/>
    <cellStyle name="SAPBEXaggItem 3" xfId="29"/>
    <cellStyle name="SAPBEXaggItem 3 2" xfId="30"/>
    <cellStyle name="SAPBEXaggItem 3 2 2" xfId="31"/>
    <cellStyle name="SAPBEXaggItem 3 2 3" xfId="32"/>
    <cellStyle name="SAPBEXaggItem 3 3" xfId="33"/>
    <cellStyle name="SAPBEXaggItem 3 4" xfId="34"/>
    <cellStyle name="SAPBEXaggItem 3 5" xfId="35"/>
    <cellStyle name="SAPBEXaggItem 4" xfId="36"/>
    <cellStyle name="SAPBEXaggItem 4 2" xfId="37"/>
    <cellStyle name="SAPBEXaggItem 4 3" xfId="38"/>
    <cellStyle name="SAPBEXaggItem 4 4" xfId="39"/>
    <cellStyle name="SAPBEXaggItem 4 5" xfId="40"/>
    <cellStyle name="SAPBEXaggItem 5" xfId="41"/>
    <cellStyle name="SAPBEXaggItem 5 2" xfId="42"/>
    <cellStyle name="SAPBEXaggItem 5 3" xfId="43"/>
    <cellStyle name="SAPBEXaggItem 6" xfId="44"/>
    <cellStyle name="SAPBEXaggItem 6 2" xfId="45"/>
    <cellStyle name="SAPBEXaggItem 6 3" xfId="46"/>
    <cellStyle name="SAPBEXaggItem 7" xfId="47"/>
    <cellStyle name="SAPBEXaggItem 8" xfId="48"/>
    <cellStyle name="SAPBEXaggItem 9" xfId="49"/>
    <cellStyle name="SAPBEXchaText" xfId="50"/>
    <cellStyle name="SAPBEXchaText 10" xfId="51"/>
    <cellStyle name="SAPBEXchaText 11" xfId="52"/>
    <cellStyle name="SAPBEXchaText 12" xfId="53"/>
    <cellStyle name="SAPBEXchaText 13" xfId="54"/>
    <cellStyle name="SAPBEXchaText 2" xfId="55"/>
    <cellStyle name="SAPBEXchaText 2 10" xfId="56"/>
    <cellStyle name="SAPBEXchaText 2 11" xfId="57"/>
    <cellStyle name="SAPBEXchaText 2 2" xfId="58"/>
    <cellStyle name="SAPBEXchaText 2 2 2" xfId="59"/>
    <cellStyle name="SAPBEXchaText 2 2 3" xfId="60"/>
    <cellStyle name="SAPBEXchaText 2 2 4" xfId="61"/>
    <cellStyle name="SAPBEXchaText 2 2 5" xfId="62"/>
    <cellStyle name="SAPBEXchaText 2 3" xfId="63"/>
    <cellStyle name="SAPBEXchaText 2 4" xfId="64"/>
    <cellStyle name="SAPBEXchaText 2 5" xfId="65"/>
    <cellStyle name="SAPBEXchaText 2 6" xfId="66"/>
    <cellStyle name="SAPBEXchaText 2 7" xfId="67"/>
    <cellStyle name="SAPBEXchaText 2 8" xfId="68"/>
    <cellStyle name="SAPBEXchaText 2 9" xfId="69"/>
    <cellStyle name="SAPBEXchaText 3" xfId="70"/>
    <cellStyle name="SAPBEXchaText 3 2" xfId="71"/>
    <cellStyle name="SAPBEXchaText 3 2 2" xfId="72"/>
    <cellStyle name="SAPBEXchaText 3 2 3" xfId="73"/>
    <cellStyle name="SAPBEXchaText 3 3" xfId="74"/>
    <cellStyle name="SAPBEXchaText 3 4" xfId="75"/>
    <cellStyle name="SAPBEXchaText 3 5" xfId="76"/>
    <cellStyle name="SAPBEXchaText 4" xfId="77"/>
    <cellStyle name="SAPBEXchaText 4 2" xfId="78"/>
    <cellStyle name="SAPBEXchaText 4 3" xfId="79"/>
    <cellStyle name="SAPBEXchaText 4 4" xfId="80"/>
    <cellStyle name="SAPBEXchaText 4 5" xfId="81"/>
    <cellStyle name="SAPBEXchaText 5" xfId="82"/>
    <cellStyle name="SAPBEXchaText 5 2" xfId="83"/>
    <cellStyle name="SAPBEXchaText 5 3" xfId="84"/>
    <cellStyle name="SAPBEXchaText 6" xfId="85"/>
    <cellStyle name="SAPBEXchaText 6 2" xfId="86"/>
    <cellStyle name="SAPBEXchaText 6 3" xfId="87"/>
    <cellStyle name="SAPBEXchaText 7" xfId="88"/>
    <cellStyle name="SAPBEXchaText 8" xfId="89"/>
    <cellStyle name="SAPBEXchaText 9" xfId="90"/>
    <cellStyle name="SAPBEXstdItem" xfId="91"/>
    <cellStyle name="SAPBEXstdItem 10" xfId="92"/>
    <cellStyle name="SAPBEXstdItem 11" xfId="93"/>
    <cellStyle name="SAPBEXstdItem 12" xfId="94"/>
    <cellStyle name="SAPBEXstdItem 13" xfId="95"/>
    <cellStyle name="SAPBEXstdItem 2" xfId="96"/>
    <cellStyle name="SAPBEXstdItem 2 10" xfId="97"/>
    <cellStyle name="SAPBEXstdItem 2 11" xfId="98"/>
    <cellStyle name="SAPBEXstdItem 2 2" xfId="99"/>
    <cellStyle name="SAPBEXstdItem 2 2 2" xfId="100"/>
    <cellStyle name="SAPBEXstdItem 2 2 3" xfId="101"/>
    <cellStyle name="SAPBEXstdItem 2 2 4" xfId="102"/>
    <cellStyle name="SAPBEXstdItem 2 2 5" xfId="103"/>
    <cellStyle name="SAPBEXstdItem 2 3" xfId="104"/>
    <cellStyle name="SAPBEXstdItem 2 4" xfId="105"/>
    <cellStyle name="SAPBEXstdItem 2 5" xfId="106"/>
    <cellStyle name="SAPBEXstdItem 2 6" xfId="107"/>
    <cellStyle name="SAPBEXstdItem 2 7" xfId="108"/>
    <cellStyle name="SAPBEXstdItem 2 8" xfId="109"/>
    <cellStyle name="SAPBEXstdItem 2 9" xfId="110"/>
    <cellStyle name="SAPBEXstdItem 3" xfId="111"/>
    <cellStyle name="SAPBEXstdItem 3 2" xfId="112"/>
    <cellStyle name="SAPBEXstdItem 3 2 2" xfId="113"/>
    <cellStyle name="SAPBEXstdItem 3 2 3" xfId="114"/>
    <cellStyle name="SAPBEXstdItem 3 3" xfId="115"/>
    <cellStyle name="SAPBEXstdItem 3 4" xfId="116"/>
    <cellStyle name="SAPBEXstdItem 3 5" xfId="117"/>
    <cellStyle name="SAPBEXstdItem 4" xfId="118"/>
    <cellStyle name="SAPBEXstdItem 4 2" xfId="119"/>
    <cellStyle name="SAPBEXstdItem 4 3" xfId="120"/>
    <cellStyle name="SAPBEXstdItem 4 4" xfId="121"/>
    <cellStyle name="SAPBEXstdItem 4 5" xfId="122"/>
    <cellStyle name="SAPBEXstdItem 5" xfId="123"/>
    <cellStyle name="SAPBEXstdItem 5 2" xfId="124"/>
    <cellStyle name="SAPBEXstdItem 5 3" xfId="125"/>
    <cellStyle name="SAPBEXstdItem 6" xfId="126"/>
    <cellStyle name="SAPBEXstdItem 6 2" xfId="127"/>
    <cellStyle name="SAPBEXstdItem 6 3" xfId="128"/>
    <cellStyle name="SAPBEXstdItem 7" xfId="129"/>
    <cellStyle name="SAPBEXstdItem 8" xfId="130"/>
    <cellStyle name="SAPBEXstdItem 9" xfId="131"/>
    <cellStyle name="Обычный" xfId="0" builtinId="0"/>
    <cellStyle name="Обычный 10" xfId="132"/>
    <cellStyle name="Обычный 10 2" xfId="133"/>
    <cellStyle name="Обычный 10 2 2" xfId="134"/>
    <cellStyle name="Обычный 10 3" xfId="135"/>
    <cellStyle name="Обычный 10 4" xfId="136"/>
    <cellStyle name="Обычный 11" xfId="137"/>
    <cellStyle name="Обычный 11 2" xfId="138"/>
    <cellStyle name="Обычный 11 3" xfId="139"/>
    <cellStyle name="Обычный 11 4" xfId="140"/>
    <cellStyle name="Обычный 12" xfId="141"/>
    <cellStyle name="Обычный 12 2" xfId="142"/>
    <cellStyle name="Обычный 12 3" xfId="143"/>
    <cellStyle name="Обычный 12 4" xfId="144"/>
    <cellStyle name="Обычный 13" xfId="145"/>
    <cellStyle name="Обычный 13 2" xfId="146"/>
    <cellStyle name="Обычный 13 3" xfId="147"/>
    <cellStyle name="Обычный 13 4" xfId="148"/>
    <cellStyle name="Обычный 14" xfId="149"/>
    <cellStyle name="Обычный 14 2" xfId="150"/>
    <cellStyle name="Обычный 14 3" xfId="151"/>
    <cellStyle name="Обычный 14 4" xfId="152"/>
    <cellStyle name="Обычный 15" xfId="153"/>
    <cellStyle name="Обычный 15 2" xfId="154"/>
    <cellStyle name="Обычный 15 3" xfId="155"/>
    <cellStyle name="Обычный 15 4" xfId="156"/>
    <cellStyle name="Обычный 16" xfId="157"/>
    <cellStyle name="Обычный 16 2" xfId="158"/>
    <cellStyle name="Обычный 16 3" xfId="159"/>
    <cellStyle name="Обычный 16 4" xfId="160"/>
    <cellStyle name="Обычный 17" xfId="161"/>
    <cellStyle name="Обычный 17 2" xfId="162"/>
    <cellStyle name="Обычный 17 3" xfId="163"/>
    <cellStyle name="Обычный 17 4" xfId="164"/>
    <cellStyle name="Обычный 18" xfId="165"/>
    <cellStyle name="Обычный 18 2" xfId="166"/>
    <cellStyle name="Обычный 18 3" xfId="167"/>
    <cellStyle name="Обычный 18 4" xfId="168"/>
    <cellStyle name="Обычный 19" xfId="169"/>
    <cellStyle name="Обычный 19 2" xfId="170"/>
    <cellStyle name="Обычный 19 3" xfId="171"/>
    <cellStyle name="Обычный 19 4" xfId="172"/>
    <cellStyle name="Обычный 2" xfId="173"/>
    <cellStyle name="Обычный 2 10" xfId="174"/>
    <cellStyle name="Обычный 2 10 2" xfId="175"/>
    <cellStyle name="Обычный 2 10 3" xfId="176"/>
    <cellStyle name="Обычный 2 10 4" xfId="177"/>
    <cellStyle name="Обычный 2 11" xfId="178"/>
    <cellStyle name="Обычный 2 11 2" xfId="179"/>
    <cellStyle name="Обычный 2 11 3" xfId="180"/>
    <cellStyle name="Обычный 2 11 4" xfId="181"/>
    <cellStyle name="Обычный 2 12" xfId="182"/>
    <cellStyle name="Обычный 2 12 2" xfId="183"/>
    <cellStyle name="Обычный 2 12 3" xfId="184"/>
    <cellStyle name="Обычный 2 13" xfId="185"/>
    <cellStyle name="Обычный 2 13 2" xfId="186"/>
    <cellStyle name="Обычный 2 14" xfId="187"/>
    <cellStyle name="Обычный 2 14 2" xfId="188"/>
    <cellStyle name="Обычный 2 15" xfId="189"/>
    <cellStyle name="Обычный 2 15 2" xfId="190"/>
    <cellStyle name="Обычный 2 16" xfId="191"/>
    <cellStyle name="Обычный 2 16 2" xfId="192"/>
    <cellStyle name="Обычный 2 17" xfId="193"/>
    <cellStyle name="Обычный 2 17 2" xfId="194"/>
    <cellStyle name="Обычный 2 18" xfId="195"/>
    <cellStyle name="Обычный 2 19" xfId="196"/>
    <cellStyle name="Обычный 2 19 2" xfId="197"/>
    <cellStyle name="Обычный 2 2" xfId="198"/>
    <cellStyle name="Обычный 2 2 2" xfId="199"/>
    <cellStyle name="Обычный 2 3" xfId="200"/>
    <cellStyle name="Обычный 2 3 2" xfId="201"/>
    <cellStyle name="Обычный 2 3 2 2" xfId="202"/>
    <cellStyle name="Обычный 2 3 3" xfId="203"/>
    <cellStyle name="Обычный 2 3 4" xfId="204"/>
    <cellStyle name="Обычный 2 4" xfId="205"/>
    <cellStyle name="Обычный 2 4 2" xfId="206"/>
    <cellStyle name="Обычный 2 4 2 2" xfId="207"/>
    <cellStyle name="Обычный 2 4 3" xfId="208"/>
    <cellStyle name="Обычный 2 4 4" xfId="209"/>
    <cellStyle name="Обычный 2 5" xfId="210"/>
    <cellStyle name="Обычный 2 5 2" xfId="211"/>
    <cellStyle name="Обычный 2 5 3" xfId="212"/>
    <cellStyle name="Обычный 2 5 4" xfId="213"/>
    <cellStyle name="Обычный 2 6" xfId="214"/>
    <cellStyle name="Обычный 2 6 2" xfId="215"/>
    <cellStyle name="Обычный 2 6 3" xfId="216"/>
    <cellStyle name="Обычный 2 6 4" xfId="217"/>
    <cellStyle name="Обычный 2 7" xfId="218"/>
    <cellStyle name="Обычный 2 7 2" xfId="219"/>
    <cellStyle name="Обычный 2 7 3" xfId="220"/>
    <cellStyle name="Обычный 2 7 4" xfId="221"/>
    <cellStyle name="Обычный 2 8" xfId="222"/>
    <cellStyle name="Обычный 2 8 2" xfId="223"/>
    <cellStyle name="Обычный 2 8 3" xfId="224"/>
    <cellStyle name="Обычный 2 8 4" xfId="225"/>
    <cellStyle name="Обычный 2 9" xfId="226"/>
    <cellStyle name="Обычный 2 9 2" xfId="227"/>
    <cellStyle name="Обычный 2 9 3" xfId="228"/>
    <cellStyle name="Обычный 2 9 4" xfId="229"/>
    <cellStyle name="Обычный 20" xfId="230"/>
    <cellStyle name="Обычный 20 2" xfId="231"/>
    <cellStyle name="Обычный 21" xfId="232"/>
    <cellStyle name="Обычный 21 2" xfId="233"/>
    <cellStyle name="Обычный 22" xfId="234"/>
    <cellStyle name="Обычный 22 2" xfId="235"/>
    <cellStyle name="Обычный 23" xfId="236"/>
    <cellStyle name="Обычный 23 2" xfId="237"/>
    <cellStyle name="Обычный 24" xfId="238"/>
    <cellStyle name="Обычный 24 2" xfId="239"/>
    <cellStyle name="Обычный 25" xfId="240"/>
    <cellStyle name="Обычный 25 2" xfId="241"/>
    <cellStyle name="Обычный 26" xfId="242"/>
    <cellStyle name="Обычный 26 2" xfId="243"/>
    <cellStyle name="Обычный 27" xfId="244"/>
    <cellStyle name="Обычный 28" xfId="245"/>
    <cellStyle name="Обычный 29" xfId="246"/>
    <cellStyle name="Обычный 29 2" xfId="247"/>
    <cellStyle name="Обычный 3" xfId="248"/>
    <cellStyle name="Обычный 3 2" xfId="249"/>
    <cellStyle name="Обычный 3 2 2" xfId="250"/>
    <cellStyle name="Обычный 3 2 3" xfId="251"/>
    <cellStyle name="Обычный 3 2 4" xfId="252"/>
    <cellStyle name="Обычный 3 3" xfId="253"/>
    <cellStyle name="Обычный 30" xfId="254"/>
    <cellStyle name="Обычный 4" xfId="255"/>
    <cellStyle name="Обычный 4 10" xfId="256"/>
    <cellStyle name="Обычный 4 2" xfId="257"/>
    <cellStyle name="Обычный 4 2 2" xfId="258"/>
    <cellStyle name="Обычный 4 2 3" xfId="259"/>
    <cellStyle name="Обычный 4 2 4" xfId="260"/>
    <cellStyle name="Обычный 4 3" xfId="261"/>
    <cellStyle name="Обычный 4 4" xfId="262"/>
    <cellStyle name="Обычный 4 4 2" xfId="263"/>
    <cellStyle name="Обычный 4 4 3" xfId="264"/>
    <cellStyle name="Обычный 4 4 4" xfId="265"/>
    <cellStyle name="Обычный 4 5" xfId="266"/>
    <cellStyle name="Обычный 4 5 2" xfId="267"/>
    <cellStyle name="Обычный 4 5 3" xfId="268"/>
    <cellStyle name="Обычный 4 6" xfId="269"/>
    <cellStyle name="Обычный 4 6 2" xfId="270"/>
    <cellStyle name="Обычный 4 6 3" xfId="271"/>
    <cellStyle name="Обычный 4 7" xfId="272"/>
    <cellStyle name="Обычный 4 7 2" xfId="273"/>
    <cellStyle name="Обычный 4 7 3" xfId="274"/>
    <cellStyle name="Обычный 4 8" xfId="275"/>
    <cellStyle name="Обычный 4 8 2" xfId="276"/>
    <cellStyle name="Обычный 4 9" xfId="277"/>
    <cellStyle name="Обычный 5" xfId="278"/>
    <cellStyle name="Обычный 5 2" xfId="279"/>
    <cellStyle name="Обычный 5 2 2" xfId="280"/>
    <cellStyle name="Обычный 5 2 3" xfId="281"/>
    <cellStyle name="Обычный 5 2 4" xfId="282"/>
    <cellStyle name="Обычный 5 3" xfId="283"/>
    <cellStyle name="Обычный 5 3 2" xfId="284"/>
    <cellStyle name="Обычный 5 3 3" xfId="285"/>
    <cellStyle name="Обычный 5 4" xfId="286"/>
    <cellStyle name="Обычный 5 4 2" xfId="287"/>
    <cellStyle name="Обычный 5 4 3" xfId="288"/>
    <cellStyle name="Обычный 5 5" xfId="289"/>
    <cellStyle name="Обычный 5 5 2" xfId="290"/>
    <cellStyle name="Обычный 5 6" xfId="291"/>
    <cellStyle name="Обычный 5 7" xfId="292"/>
    <cellStyle name="Обычный 5 7 2" xfId="293"/>
    <cellStyle name="Обычный 5 8" xfId="294"/>
    <cellStyle name="Обычный 6" xfId="295"/>
    <cellStyle name="Обычный 6 2" xfId="296"/>
    <cellStyle name="Обычный 6 2 2" xfId="297"/>
    <cellStyle name="Обычный 6 2 3" xfId="298"/>
    <cellStyle name="Обычный 6 2 4" xfId="299"/>
    <cellStyle name="Обычный 6 3" xfId="300"/>
    <cellStyle name="Обычный 6 3 2" xfId="301"/>
    <cellStyle name="Обычный 6 3 3" xfId="302"/>
    <cellStyle name="Обычный 6 4" xfId="303"/>
    <cellStyle name="Обычный 6 4 2" xfId="304"/>
    <cellStyle name="Обычный 6 4 3" xfId="305"/>
    <cellStyle name="Обычный 6 5" xfId="306"/>
    <cellStyle name="Обычный 6 5 2" xfId="307"/>
    <cellStyle name="Обычный 6 6" xfId="308"/>
    <cellStyle name="Обычный 6 7" xfId="309"/>
    <cellStyle name="Обычный 6 8" xfId="310"/>
    <cellStyle name="Обычный 6 8 2" xfId="311"/>
    <cellStyle name="Обычный 6 9" xfId="312"/>
    <cellStyle name="Обычный 7" xfId="313"/>
    <cellStyle name="Обычный 7 2" xfId="314"/>
    <cellStyle name="Обычный 7 2 2" xfId="315"/>
    <cellStyle name="Обычный 7 3" xfId="316"/>
    <cellStyle name="Обычный 7 4" xfId="317"/>
    <cellStyle name="Обычный 8" xfId="318"/>
    <cellStyle name="Обычный 8 2" xfId="319"/>
    <cellStyle name="Обычный 8 2 2" xfId="320"/>
    <cellStyle name="Обычный 8 3" xfId="321"/>
    <cellStyle name="Обычный 8 4" xfId="322"/>
    <cellStyle name="Обычный 9" xfId="323"/>
    <cellStyle name="Обычный 9 2" xfId="324"/>
    <cellStyle name="Обычный 9 2 2" xfId="325"/>
    <cellStyle name="Обычный 9 3" xfId="326"/>
    <cellStyle name="Обычный 9 4" xfId="327"/>
    <cellStyle name="Пояснение 2" xfId="328"/>
    <cellStyle name="Финансовый 2" xfId="329"/>
    <cellStyle name="Финансовый 3" xfId="330"/>
    <cellStyle name="Финансовый 4" xfId="33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egion2015\&#1041;&#1102;&#1076;&#1078;&#1077;&#1090;&#1099;\&#1041;&#1102;&#1076;&#1078;&#1077;&#1090;%20&#1085;&#1072;%20&#1086;&#1082;&#1090;&#1103;&#1073;&#1088;&#1100;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.Pshenichny/Desktop/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ки"/>
      <sheetName val="БДР"/>
      <sheetName val="Анализ постоянных затрат"/>
      <sheetName val="Исходные данные"/>
      <sheetName val="Лист5"/>
      <sheetName val="Лист1"/>
      <sheetName val="Лист3"/>
      <sheetName val="Лист2"/>
      <sheetName val="Лист4"/>
      <sheetName val="Лист6"/>
      <sheetName val="Лист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рендаторы"/>
      <sheetName val="М3"/>
      <sheetName val="М5"/>
      <sheetName val="М11"/>
      <sheetName val=" М34"/>
      <sheetName val="М40"/>
      <sheetName val="м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Q89"/>
  <sheetViews>
    <sheetView tabSelected="1" topLeftCell="B1" zoomScale="120" zoomScaleNormal="120" workbookViewId="0">
      <pane xSplit="2" topLeftCell="D1" activePane="topRight" state="frozen"/>
      <selection pane="topRight" activeCell="C4" sqref="C4"/>
    </sheetView>
  </sheetViews>
  <sheetFormatPr defaultColWidth="9.140625" defaultRowHeight="15" customHeight="1" x14ac:dyDescent="0.2"/>
  <cols>
    <col min="1" max="1" width="2.5703125" style="182" customWidth="1"/>
    <col min="2" max="2" width="7.140625" style="183" customWidth="1"/>
    <col min="3" max="3" width="45.5703125" style="184" customWidth="1"/>
    <col min="4" max="4" width="25.85546875" style="185" customWidth="1"/>
    <col min="5" max="5" width="19.28515625" style="185" customWidth="1"/>
    <col min="6" max="6" width="11.7109375" style="186" customWidth="1"/>
    <col min="7" max="7" width="7.7109375" style="185" customWidth="1"/>
    <col min="8" max="8" width="24.140625" style="185" customWidth="1"/>
    <col min="9" max="9" width="10.28515625" style="183" customWidth="1"/>
    <col min="10" max="10" width="35.42578125" style="183" customWidth="1"/>
    <col min="11" max="11" width="10.28515625" style="185" customWidth="1"/>
    <col min="12" max="21" width="11.28515625" style="183" customWidth="1"/>
    <col min="22" max="22" width="5.7109375" style="183" customWidth="1"/>
    <col min="23" max="27" width="13.28515625" style="183" customWidth="1"/>
    <col min="28" max="28" width="14" style="183" customWidth="1"/>
    <col min="29" max="30" width="13.28515625" style="183" customWidth="1"/>
    <col min="31" max="31" width="14.7109375" style="187" customWidth="1"/>
    <col min="32" max="32" width="14.28515625" style="183" customWidth="1"/>
    <col min="33" max="16384" width="9.140625" style="188"/>
  </cols>
  <sheetData>
    <row r="2" spans="1:34" s="181" customFormat="1" ht="31.15" customHeight="1" x14ac:dyDescent="0.2">
      <c r="A2" s="189"/>
      <c r="B2" s="190" t="s">
        <v>0</v>
      </c>
      <c r="C2" s="190" t="s">
        <v>1</v>
      </c>
      <c r="D2" s="191" t="s">
        <v>2</v>
      </c>
      <c r="E2" s="191"/>
      <c r="F2" s="192" t="s">
        <v>3</v>
      </c>
      <c r="G2" s="193" t="s">
        <v>4</v>
      </c>
      <c r="H2" s="191" t="s">
        <v>5</v>
      </c>
      <c r="I2" s="190" t="s">
        <v>6</v>
      </c>
      <c r="J2" s="190" t="s">
        <v>7</v>
      </c>
      <c r="K2" s="191" t="s">
        <v>8</v>
      </c>
      <c r="L2" s="264">
        <v>45777</v>
      </c>
      <c r="M2" s="264">
        <v>45808</v>
      </c>
      <c r="N2" s="264">
        <v>45838</v>
      </c>
      <c r="O2" s="264">
        <v>45869</v>
      </c>
      <c r="P2" s="264">
        <v>45870</v>
      </c>
      <c r="Q2" s="264">
        <v>45901</v>
      </c>
      <c r="R2" s="264">
        <v>45931</v>
      </c>
      <c r="S2" s="264">
        <v>45962</v>
      </c>
      <c r="T2" s="264">
        <v>45992</v>
      </c>
      <c r="U2" s="264">
        <v>46023</v>
      </c>
      <c r="V2" s="264" t="s">
        <v>9</v>
      </c>
      <c r="W2" s="264" t="s">
        <v>10</v>
      </c>
      <c r="X2" s="264" t="s">
        <v>11</v>
      </c>
      <c r="Y2" s="264" t="s">
        <v>12</v>
      </c>
      <c r="Z2" s="264" t="s">
        <v>13</v>
      </c>
      <c r="AA2" s="264" t="s">
        <v>14</v>
      </c>
      <c r="AB2" s="264" t="s">
        <v>15</v>
      </c>
      <c r="AC2" s="264" t="s">
        <v>16</v>
      </c>
      <c r="AD2" s="264" t="s">
        <v>385</v>
      </c>
      <c r="AE2" s="314" t="s">
        <v>17</v>
      </c>
      <c r="AF2" s="264" t="s">
        <v>18</v>
      </c>
    </row>
    <row r="3" spans="1:34" ht="13.5" thickBot="1" x14ac:dyDescent="0.25">
      <c r="A3" s="182" t="s">
        <v>19</v>
      </c>
      <c r="B3" s="194" t="s">
        <v>20</v>
      </c>
      <c r="C3" s="195" t="s">
        <v>21</v>
      </c>
      <c r="D3" s="433" t="s">
        <v>22</v>
      </c>
      <c r="E3" s="196" t="s">
        <v>23</v>
      </c>
      <c r="F3" s="196">
        <v>41087452</v>
      </c>
      <c r="G3" s="427">
        <v>74.8</v>
      </c>
      <c r="H3" s="418" t="s">
        <v>24</v>
      </c>
      <c r="I3" s="265">
        <v>44795</v>
      </c>
      <c r="J3" s="266" t="s">
        <v>25</v>
      </c>
      <c r="K3" s="267"/>
      <c r="L3" s="268">
        <v>157082</v>
      </c>
      <c r="M3" s="268">
        <v>158047</v>
      </c>
      <c r="N3" s="268">
        <v>158695</v>
      </c>
      <c r="O3" s="268">
        <v>159785.60000000001</v>
      </c>
      <c r="P3" s="268">
        <v>160610.5</v>
      </c>
      <c r="Q3" s="268">
        <v>161338</v>
      </c>
      <c r="R3" s="268">
        <v>162542</v>
      </c>
      <c r="S3" s="268">
        <v>163725</v>
      </c>
      <c r="T3" s="268">
        <v>165551</v>
      </c>
      <c r="U3" s="268">
        <v>168328</v>
      </c>
      <c r="V3" s="268">
        <v>1</v>
      </c>
      <c r="W3" s="309">
        <f t="shared" ref="W3:W13" si="0">M3-L3</f>
        <v>965</v>
      </c>
      <c r="X3" s="309">
        <f t="shared" ref="X3:X13" si="1">N3-M3</f>
        <v>648</v>
      </c>
      <c r="Y3" s="309">
        <f t="shared" ref="Y3:AD3" si="2">P3-O3</f>
        <v>824.89999999999418</v>
      </c>
      <c r="Z3" s="309">
        <f t="shared" si="2"/>
        <v>727.5</v>
      </c>
      <c r="AA3" s="309">
        <f t="shared" si="2"/>
        <v>1204</v>
      </c>
      <c r="AB3" s="309">
        <f t="shared" si="2"/>
        <v>1183</v>
      </c>
      <c r="AC3" s="309">
        <f t="shared" si="2"/>
        <v>1826</v>
      </c>
      <c r="AD3" s="309">
        <f t="shared" si="2"/>
        <v>2777</v>
      </c>
      <c r="AE3" s="315">
        <v>14.60538</v>
      </c>
      <c r="AF3" s="316">
        <f>V3*AD3*AE3</f>
        <v>40559.14026</v>
      </c>
    </row>
    <row r="4" spans="1:34" ht="13.5" thickBot="1" x14ac:dyDescent="0.25">
      <c r="A4" s="182" t="s">
        <v>19</v>
      </c>
      <c r="B4" s="198" t="s">
        <v>20</v>
      </c>
      <c r="C4" s="199" t="s">
        <v>21</v>
      </c>
      <c r="D4" s="434"/>
      <c r="E4" s="200" t="s">
        <v>26</v>
      </c>
      <c r="F4" s="200"/>
      <c r="G4" s="428"/>
      <c r="H4" s="419"/>
      <c r="I4" s="269"/>
      <c r="J4" s="270"/>
      <c r="K4" s="271"/>
      <c r="L4" s="272">
        <v>56</v>
      </c>
      <c r="M4" s="272">
        <v>58</v>
      </c>
      <c r="N4" s="272">
        <v>60</v>
      </c>
      <c r="O4" s="272">
        <v>62</v>
      </c>
      <c r="P4" s="272">
        <v>64</v>
      </c>
      <c r="Q4" s="272">
        <v>66</v>
      </c>
      <c r="R4" s="272">
        <v>68</v>
      </c>
      <c r="S4" s="272">
        <v>70</v>
      </c>
      <c r="T4" s="272">
        <v>71</v>
      </c>
      <c r="U4" s="272">
        <v>71</v>
      </c>
      <c r="V4" s="272">
        <v>1</v>
      </c>
      <c r="W4" s="310">
        <f t="shared" si="0"/>
        <v>2</v>
      </c>
      <c r="X4" s="310">
        <f t="shared" si="1"/>
        <v>2</v>
      </c>
      <c r="Y4" s="310">
        <f t="shared" ref="Y4:Y18" si="3">P4-O4</f>
        <v>2</v>
      </c>
      <c r="Z4" s="310">
        <f t="shared" ref="Z4:Z18" si="4">Q4-P4</f>
        <v>2</v>
      </c>
      <c r="AA4" s="310">
        <f t="shared" ref="AA4:AA18" si="5">R4-Q4</f>
        <v>2</v>
      </c>
      <c r="AB4" s="310">
        <f t="shared" ref="AB4:AB18" si="6">S4-R4</f>
        <v>2</v>
      </c>
      <c r="AC4" s="309">
        <f t="shared" ref="AC4:AC18" si="7">T4-S4</f>
        <v>1</v>
      </c>
      <c r="AD4" s="309">
        <f t="shared" ref="AD4:AD67" si="8">U4-T4</f>
        <v>0</v>
      </c>
      <c r="AE4" s="317">
        <v>83.177101449275398</v>
      </c>
      <c r="AF4" s="316">
        <f t="shared" ref="AF4:AF67" si="9">V4*AD4*AE4</f>
        <v>0</v>
      </c>
    </row>
    <row r="5" spans="1:34" ht="13.5" thickBot="1" x14ac:dyDescent="0.25">
      <c r="A5" s="182" t="s">
        <v>19</v>
      </c>
      <c r="B5" s="202">
        <v>2</v>
      </c>
      <c r="C5" s="203" t="s">
        <v>27</v>
      </c>
      <c r="D5" s="204" t="s">
        <v>28</v>
      </c>
      <c r="E5" s="205" t="s">
        <v>26</v>
      </c>
      <c r="F5" s="206" t="s">
        <v>29</v>
      </c>
      <c r="G5" s="207">
        <v>1</v>
      </c>
      <c r="H5" s="208" t="s">
        <v>30</v>
      </c>
      <c r="I5" s="273">
        <v>45689</v>
      </c>
      <c r="J5" s="274" t="s">
        <v>31</v>
      </c>
      <c r="K5" s="275"/>
      <c r="L5" s="276">
        <v>1678.41</v>
      </c>
      <c r="M5" s="276">
        <v>1699.51</v>
      </c>
      <c r="N5" s="276">
        <v>1722.02</v>
      </c>
      <c r="O5" s="276">
        <v>1742.89</v>
      </c>
      <c r="P5" s="276">
        <v>1765.61</v>
      </c>
      <c r="Q5" s="276">
        <v>1787.07</v>
      </c>
      <c r="R5" s="276">
        <v>1811.24</v>
      </c>
      <c r="S5" s="276">
        <v>1840.66</v>
      </c>
      <c r="T5" s="276">
        <v>1863.28</v>
      </c>
      <c r="U5" s="276">
        <v>1885.23</v>
      </c>
      <c r="V5" s="276">
        <v>1</v>
      </c>
      <c r="W5" s="311">
        <f t="shared" si="0"/>
        <v>21.099999999999909</v>
      </c>
      <c r="X5" s="311">
        <f t="shared" si="1"/>
        <v>22.509999999999991</v>
      </c>
      <c r="Y5" s="311">
        <f t="shared" si="3"/>
        <v>22.7199999999998</v>
      </c>
      <c r="Z5" s="311">
        <f t="shared" si="4"/>
        <v>21.460000000000036</v>
      </c>
      <c r="AA5" s="318">
        <f t="shared" si="5"/>
        <v>24.170000000000073</v>
      </c>
      <c r="AB5" s="318">
        <f t="shared" si="6"/>
        <v>29.420000000000073</v>
      </c>
      <c r="AC5" s="309">
        <f t="shared" si="7"/>
        <v>22.619999999999891</v>
      </c>
      <c r="AD5" s="309">
        <f t="shared" si="8"/>
        <v>21.950000000000045</v>
      </c>
      <c r="AE5" s="319">
        <v>49.691666666666698</v>
      </c>
      <c r="AF5" s="316">
        <f t="shared" si="9"/>
        <v>1090.7320833333363</v>
      </c>
    </row>
    <row r="6" spans="1:34" ht="13.5" thickBot="1" x14ac:dyDescent="0.25">
      <c r="A6" s="182" t="s">
        <v>19</v>
      </c>
      <c r="B6" s="209">
        <v>3</v>
      </c>
      <c r="C6" s="210" t="s">
        <v>32</v>
      </c>
      <c r="D6" s="433" t="s">
        <v>33</v>
      </c>
      <c r="E6" s="196" t="s">
        <v>23</v>
      </c>
      <c r="F6" s="211" t="s">
        <v>34</v>
      </c>
      <c r="G6" s="425">
        <v>12</v>
      </c>
      <c r="H6" s="418" t="s">
        <v>35</v>
      </c>
      <c r="I6" s="265">
        <v>45627</v>
      </c>
      <c r="J6" s="277" t="s">
        <v>36</v>
      </c>
      <c r="K6" s="267"/>
      <c r="L6" s="268">
        <v>713382</v>
      </c>
      <c r="M6" s="268">
        <v>713960.57</v>
      </c>
      <c r="N6" s="268">
        <v>714695</v>
      </c>
      <c r="O6" s="268">
        <v>715651.35</v>
      </c>
      <c r="P6" s="268">
        <v>716539.85</v>
      </c>
      <c r="Q6" s="268">
        <v>717295.41</v>
      </c>
      <c r="R6" s="268">
        <v>717609.95</v>
      </c>
      <c r="S6" s="268">
        <v>717974.67</v>
      </c>
      <c r="T6" s="268">
        <v>718481.49</v>
      </c>
      <c r="U6" s="268">
        <v>719102.6</v>
      </c>
      <c r="V6" s="268">
        <v>1</v>
      </c>
      <c r="W6" s="309">
        <f t="shared" si="0"/>
        <v>578.56999999994878</v>
      </c>
      <c r="X6" s="309">
        <f t="shared" si="1"/>
        <v>734.43000000005122</v>
      </c>
      <c r="Y6" s="309">
        <f t="shared" si="3"/>
        <v>888.5</v>
      </c>
      <c r="Z6" s="309">
        <f t="shared" si="4"/>
        <v>755.56000000005588</v>
      </c>
      <c r="AA6" s="309">
        <f t="shared" si="5"/>
        <v>314.53999999992084</v>
      </c>
      <c r="AB6" s="309">
        <f t="shared" si="6"/>
        <v>364.72000000008848</v>
      </c>
      <c r="AC6" s="309">
        <f t="shared" si="7"/>
        <v>506.81999999994878</v>
      </c>
      <c r="AD6" s="309">
        <f t="shared" si="8"/>
        <v>621.10999999998603</v>
      </c>
      <c r="AE6" s="315">
        <v>11.5641</v>
      </c>
      <c r="AF6" s="316">
        <f t="shared" si="9"/>
        <v>7182.5781509998387</v>
      </c>
      <c r="AH6" s="188">
        <f>1.2*9.92662</f>
        <v>11.911944</v>
      </c>
    </row>
    <row r="7" spans="1:34" ht="13.5" thickBot="1" x14ac:dyDescent="0.25">
      <c r="A7" s="182" t="s">
        <v>19</v>
      </c>
      <c r="B7" s="213">
        <v>3</v>
      </c>
      <c r="C7" s="214" t="s">
        <v>32</v>
      </c>
      <c r="D7" s="435"/>
      <c r="E7" s="215" t="s">
        <v>26</v>
      </c>
      <c r="F7" s="216"/>
      <c r="G7" s="429"/>
      <c r="H7" s="420"/>
      <c r="I7" s="278"/>
      <c r="J7" s="279"/>
      <c r="K7" s="280"/>
      <c r="L7" s="281">
        <v>129.31</v>
      </c>
      <c r="M7" s="281">
        <v>130.55000000000001</v>
      </c>
      <c r="N7" s="281">
        <v>131.6</v>
      </c>
      <c r="O7" s="281">
        <v>132.66999999999999</v>
      </c>
      <c r="P7" s="281">
        <v>133.83000000000001</v>
      </c>
      <c r="Q7" s="281">
        <v>135.22999999999999</v>
      </c>
      <c r="R7" s="281">
        <v>136.11000000000001</v>
      </c>
      <c r="S7" s="281">
        <v>137.09</v>
      </c>
      <c r="T7" s="281">
        <v>138.24</v>
      </c>
      <c r="U7" s="281">
        <v>140.25</v>
      </c>
      <c r="V7" s="281">
        <v>1</v>
      </c>
      <c r="W7" s="236">
        <f t="shared" si="0"/>
        <v>1.2400000000000091</v>
      </c>
      <c r="X7" s="236">
        <f t="shared" si="1"/>
        <v>1.0499999999999829</v>
      </c>
      <c r="Y7" s="236">
        <f t="shared" si="3"/>
        <v>1.160000000000025</v>
      </c>
      <c r="Z7" s="236">
        <f t="shared" si="4"/>
        <v>1.3999999999999773</v>
      </c>
      <c r="AA7" s="236">
        <f t="shared" si="5"/>
        <v>0.88000000000002387</v>
      </c>
      <c r="AB7" s="236">
        <f t="shared" si="6"/>
        <v>0.97999999999998977</v>
      </c>
      <c r="AC7" s="309">
        <f t="shared" si="7"/>
        <v>1.1500000000000057</v>
      </c>
      <c r="AD7" s="309">
        <f t="shared" si="8"/>
        <v>2.0099999999999909</v>
      </c>
      <c r="AE7" s="320">
        <v>53.478666666666697</v>
      </c>
      <c r="AF7" s="316">
        <f t="shared" si="9"/>
        <v>107.49211999999957</v>
      </c>
    </row>
    <row r="8" spans="1:34" ht="13.5" thickBot="1" x14ac:dyDescent="0.25">
      <c r="A8" s="182" t="s">
        <v>19</v>
      </c>
      <c r="B8" s="194" t="s">
        <v>37</v>
      </c>
      <c r="C8" s="210" t="s">
        <v>38</v>
      </c>
      <c r="D8" s="196" t="s">
        <v>28</v>
      </c>
      <c r="E8" s="196" t="s">
        <v>26</v>
      </c>
      <c r="F8" s="211" t="s">
        <v>29</v>
      </c>
      <c r="G8" s="212">
        <v>1</v>
      </c>
      <c r="H8" s="197" t="s">
        <v>30</v>
      </c>
      <c r="I8" s="265">
        <v>45717</v>
      </c>
      <c r="J8" s="277" t="s">
        <v>31</v>
      </c>
      <c r="K8" s="267"/>
      <c r="L8" s="268">
        <v>27.32</v>
      </c>
      <c r="M8" s="268">
        <v>38.880000000000003</v>
      </c>
      <c r="N8" s="268">
        <v>50.14</v>
      </c>
      <c r="O8" s="268">
        <v>63.91</v>
      </c>
      <c r="P8" s="268">
        <v>74.09</v>
      </c>
      <c r="Q8" s="268">
        <v>86.05</v>
      </c>
      <c r="R8" s="268">
        <v>99.13</v>
      </c>
      <c r="S8" s="268">
        <v>112.8</v>
      </c>
      <c r="T8" s="268">
        <v>128.1</v>
      </c>
      <c r="U8" s="268">
        <v>133.35</v>
      </c>
      <c r="V8" s="268">
        <v>1</v>
      </c>
      <c r="W8" s="309">
        <f t="shared" si="0"/>
        <v>11.560000000000002</v>
      </c>
      <c r="X8" s="309">
        <f t="shared" si="1"/>
        <v>11.259999999999998</v>
      </c>
      <c r="Y8" s="309">
        <f t="shared" si="3"/>
        <v>10.180000000000007</v>
      </c>
      <c r="Z8" s="309">
        <f t="shared" si="4"/>
        <v>11.959999999999994</v>
      </c>
      <c r="AA8" s="309">
        <f t="shared" si="5"/>
        <v>13.079999999999998</v>
      </c>
      <c r="AB8" s="309">
        <f t="shared" si="6"/>
        <v>13.670000000000002</v>
      </c>
      <c r="AC8" s="309">
        <f t="shared" si="7"/>
        <v>15.299999999999997</v>
      </c>
      <c r="AD8" s="309">
        <f t="shared" si="8"/>
        <v>5.25</v>
      </c>
      <c r="AE8" s="315">
        <v>59.2878260869565</v>
      </c>
      <c r="AF8" s="316">
        <f t="shared" si="9"/>
        <v>311.26108695652164</v>
      </c>
    </row>
    <row r="9" spans="1:34" ht="13.5" thickBot="1" x14ac:dyDescent="0.25">
      <c r="A9" s="182" t="s">
        <v>19</v>
      </c>
      <c r="B9" s="219" t="s">
        <v>37</v>
      </c>
      <c r="C9" s="214" t="s">
        <v>38</v>
      </c>
      <c r="D9" s="220" t="s">
        <v>39</v>
      </c>
      <c r="E9" s="220" t="s">
        <v>26</v>
      </c>
      <c r="F9" s="216" t="s">
        <v>40</v>
      </c>
      <c r="G9" s="217">
        <v>1</v>
      </c>
      <c r="H9" s="218" t="s">
        <v>41</v>
      </c>
      <c r="I9" s="278">
        <v>45359</v>
      </c>
      <c r="J9" s="279" t="s">
        <v>42</v>
      </c>
      <c r="K9" s="280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>
        <v>1</v>
      </c>
      <c r="W9" s="236">
        <f t="shared" si="0"/>
        <v>0</v>
      </c>
      <c r="X9" s="236">
        <f t="shared" si="1"/>
        <v>0</v>
      </c>
      <c r="Y9" s="236">
        <f t="shared" si="3"/>
        <v>0</v>
      </c>
      <c r="Z9" s="236">
        <f t="shared" si="4"/>
        <v>0</v>
      </c>
      <c r="AA9" s="236">
        <f t="shared" si="5"/>
        <v>0</v>
      </c>
      <c r="AB9" s="236">
        <f t="shared" si="6"/>
        <v>0</v>
      </c>
      <c r="AC9" s="309">
        <f t="shared" si="7"/>
        <v>0</v>
      </c>
      <c r="AD9" s="309">
        <f t="shared" si="8"/>
        <v>0</v>
      </c>
      <c r="AE9" s="321" t="s">
        <v>43</v>
      </c>
      <c r="AF9" s="316"/>
    </row>
    <row r="10" spans="1:34" ht="13.5" thickBot="1" x14ac:dyDescent="0.25">
      <c r="A10" s="182" t="s">
        <v>19</v>
      </c>
      <c r="B10" s="209">
        <v>5</v>
      </c>
      <c r="C10" s="197" t="s">
        <v>44</v>
      </c>
      <c r="D10" s="196" t="s">
        <v>28</v>
      </c>
      <c r="E10" s="196" t="s">
        <v>26</v>
      </c>
      <c r="F10" s="211" t="s">
        <v>29</v>
      </c>
      <c r="G10" s="212">
        <v>1</v>
      </c>
      <c r="H10" s="197" t="s">
        <v>30</v>
      </c>
      <c r="I10" s="265">
        <v>45689</v>
      </c>
      <c r="J10" s="277" t="s">
        <v>31</v>
      </c>
      <c r="K10" s="267"/>
      <c r="L10" s="268">
        <v>2372</v>
      </c>
      <c r="M10" s="268">
        <v>2395</v>
      </c>
      <c r="N10" s="268">
        <v>2413</v>
      </c>
      <c r="O10" s="268">
        <v>2431</v>
      </c>
      <c r="P10" s="268">
        <v>2447.54</v>
      </c>
      <c r="Q10" s="268">
        <v>2464</v>
      </c>
      <c r="R10" s="268">
        <v>2476</v>
      </c>
      <c r="S10" s="268">
        <v>2488</v>
      </c>
      <c r="T10" s="268">
        <v>2503</v>
      </c>
      <c r="U10" s="268">
        <v>2517</v>
      </c>
      <c r="V10" s="268">
        <v>1</v>
      </c>
      <c r="W10" s="309">
        <f t="shared" si="0"/>
        <v>23</v>
      </c>
      <c r="X10" s="309">
        <f t="shared" si="1"/>
        <v>18</v>
      </c>
      <c r="Y10" s="309">
        <f t="shared" si="3"/>
        <v>16.539999999999964</v>
      </c>
      <c r="Z10" s="309">
        <f t="shared" si="4"/>
        <v>16.460000000000036</v>
      </c>
      <c r="AA10" s="309">
        <f t="shared" si="5"/>
        <v>12</v>
      </c>
      <c r="AB10" s="309">
        <f t="shared" si="6"/>
        <v>12</v>
      </c>
      <c r="AC10" s="309">
        <f t="shared" si="7"/>
        <v>15</v>
      </c>
      <c r="AD10" s="309">
        <f t="shared" si="8"/>
        <v>14</v>
      </c>
      <c r="AE10" s="315">
        <v>57.375430000000001</v>
      </c>
      <c r="AF10" s="316">
        <f t="shared" si="9"/>
        <v>803.25602000000003</v>
      </c>
    </row>
    <row r="11" spans="1:34" ht="13.5" thickBot="1" x14ac:dyDescent="0.25">
      <c r="A11" s="182" t="s">
        <v>19</v>
      </c>
      <c r="B11" s="213">
        <v>5</v>
      </c>
      <c r="C11" s="218" t="s">
        <v>44</v>
      </c>
      <c r="D11" s="215" t="s">
        <v>45</v>
      </c>
      <c r="E11" s="215" t="s">
        <v>23</v>
      </c>
      <c r="F11" s="221" t="s">
        <v>46</v>
      </c>
      <c r="G11" s="217">
        <v>1</v>
      </c>
      <c r="H11" s="218" t="s">
        <v>41</v>
      </c>
      <c r="I11" s="278">
        <v>45814</v>
      </c>
      <c r="J11" s="282" t="s">
        <v>47</v>
      </c>
      <c r="K11" s="283"/>
      <c r="L11" s="281">
        <v>56.9</v>
      </c>
      <c r="M11" s="281">
        <v>56.9</v>
      </c>
      <c r="N11" s="281">
        <v>112</v>
      </c>
      <c r="O11" s="281">
        <v>221</v>
      </c>
      <c r="P11" s="281">
        <v>324.7</v>
      </c>
      <c r="Q11" s="281">
        <v>441</v>
      </c>
      <c r="R11" s="281">
        <v>538</v>
      </c>
      <c r="S11" s="281">
        <v>665</v>
      </c>
      <c r="T11" s="281">
        <v>884</v>
      </c>
      <c r="U11" s="281">
        <v>1086</v>
      </c>
      <c r="V11" s="281">
        <v>1</v>
      </c>
      <c r="W11" s="236">
        <f t="shared" si="0"/>
        <v>0</v>
      </c>
      <c r="X11" s="236">
        <f t="shared" si="1"/>
        <v>55.1</v>
      </c>
      <c r="Y11" s="236">
        <f t="shared" si="3"/>
        <v>103.69999999999999</v>
      </c>
      <c r="Z11" s="236">
        <f t="shared" si="4"/>
        <v>116.30000000000001</v>
      </c>
      <c r="AA11" s="236">
        <f t="shared" si="5"/>
        <v>97</v>
      </c>
      <c r="AB11" s="236">
        <f t="shared" si="6"/>
        <v>127</v>
      </c>
      <c r="AC11" s="309">
        <f t="shared" si="7"/>
        <v>219</v>
      </c>
      <c r="AD11" s="309">
        <f t="shared" si="8"/>
        <v>202</v>
      </c>
      <c r="AE11" s="320">
        <v>11.911944</v>
      </c>
      <c r="AF11" s="316">
        <f t="shared" si="9"/>
        <v>2406.2126880000001</v>
      </c>
      <c r="AH11" s="188">
        <f>1.2*9.92662</f>
        <v>11.911944</v>
      </c>
    </row>
    <row r="12" spans="1:34" ht="13.5" thickBot="1" x14ac:dyDescent="0.25">
      <c r="A12" s="182" t="s">
        <v>19</v>
      </c>
      <c r="B12" s="209">
        <v>6</v>
      </c>
      <c r="C12" s="210" t="s">
        <v>48</v>
      </c>
      <c r="D12" s="222" t="s">
        <v>49</v>
      </c>
      <c r="E12" s="222" t="s">
        <v>23</v>
      </c>
      <c r="F12" s="211" t="s">
        <v>50</v>
      </c>
      <c r="G12" s="212">
        <v>1</v>
      </c>
      <c r="H12" s="197" t="s">
        <v>41</v>
      </c>
      <c r="I12" s="265">
        <v>45392</v>
      </c>
      <c r="J12" s="277" t="s">
        <v>51</v>
      </c>
      <c r="K12" s="284"/>
      <c r="L12" s="268"/>
      <c r="M12" s="268"/>
      <c r="N12" s="268">
        <v>0</v>
      </c>
      <c r="O12" s="268">
        <v>0</v>
      </c>
      <c r="P12" s="268">
        <v>108</v>
      </c>
      <c r="Q12" s="268">
        <v>212</v>
      </c>
      <c r="R12" s="268">
        <v>329</v>
      </c>
      <c r="S12" s="268">
        <v>445</v>
      </c>
      <c r="T12" s="268">
        <v>558</v>
      </c>
      <c r="U12" s="268">
        <v>673</v>
      </c>
      <c r="V12" s="268">
        <v>1</v>
      </c>
      <c r="W12" s="309">
        <f t="shared" si="0"/>
        <v>0</v>
      </c>
      <c r="X12" s="309">
        <f t="shared" si="1"/>
        <v>0</v>
      </c>
      <c r="Y12" s="309">
        <f t="shared" si="3"/>
        <v>108</v>
      </c>
      <c r="Z12" s="309">
        <f t="shared" si="4"/>
        <v>104</v>
      </c>
      <c r="AA12" s="309">
        <f t="shared" si="5"/>
        <v>117</v>
      </c>
      <c r="AB12" s="309">
        <f t="shared" si="6"/>
        <v>116</v>
      </c>
      <c r="AC12" s="309">
        <f t="shared" si="7"/>
        <v>113</v>
      </c>
      <c r="AD12" s="309">
        <f t="shared" si="8"/>
        <v>115</v>
      </c>
      <c r="AE12" s="315">
        <v>11.891892</v>
      </c>
      <c r="AF12" s="316">
        <f t="shared" si="9"/>
        <v>1367.5675800000001</v>
      </c>
      <c r="AH12" s="188">
        <f>1.2*9.90991</f>
        <v>11.891892</v>
      </c>
    </row>
    <row r="13" spans="1:34" ht="13.5" thickBot="1" x14ac:dyDescent="0.25">
      <c r="A13" s="182" t="s">
        <v>19</v>
      </c>
      <c r="B13" s="213">
        <v>6</v>
      </c>
      <c r="C13" s="214" t="s">
        <v>48</v>
      </c>
      <c r="D13" s="215" t="s">
        <v>28</v>
      </c>
      <c r="E13" s="215" t="s">
        <v>26</v>
      </c>
      <c r="F13" s="216" t="s">
        <v>29</v>
      </c>
      <c r="G13" s="217">
        <v>1</v>
      </c>
      <c r="H13" s="218" t="s">
        <v>30</v>
      </c>
      <c r="I13" s="278">
        <v>45689</v>
      </c>
      <c r="J13" s="279" t="s">
        <v>31</v>
      </c>
      <c r="K13" s="280"/>
      <c r="L13" s="281">
        <v>408</v>
      </c>
      <c r="M13" s="281">
        <v>438</v>
      </c>
      <c r="N13" s="281">
        <v>463</v>
      </c>
      <c r="O13" s="281">
        <v>484</v>
      </c>
      <c r="P13" s="281">
        <v>495.09</v>
      </c>
      <c r="Q13" s="281">
        <v>521</v>
      </c>
      <c r="R13" s="281">
        <v>558</v>
      </c>
      <c r="S13" s="281">
        <v>592</v>
      </c>
      <c r="T13" s="281">
        <v>641</v>
      </c>
      <c r="U13" s="281">
        <v>695</v>
      </c>
      <c r="V13" s="281">
        <v>1</v>
      </c>
      <c r="W13" s="236">
        <f t="shared" si="0"/>
        <v>30</v>
      </c>
      <c r="X13" s="236">
        <f t="shared" si="1"/>
        <v>25</v>
      </c>
      <c r="Y13" s="236">
        <f t="shared" si="3"/>
        <v>11.089999999999975</v>
      </c>
      <c r="Z13" s="236">
        <f t="shared" si="4"/>
        <v>25.910000000000025</v>
      </c>
      <c r="AA13" s="236">
        <f t="shared" si="5"/>
        <v>37</v>
      </c>
      <c r="AB13" s="236">
        <f t="shared" si="6"/>
        <v>34</v>
      </c>
      <c r="AC13" s="309">
        <f t="shared" si="7"/>
        <v>49</v>
      </c>
      <c r="AD13" s="309">
        <f t="shared" si="8"/>
        <v>54</v>
      </c>
      <c r="AE13" s="320">
        <v>54.505164835164798</v>
      </c>
      <c r="AF13" s="316">
        <f t="shared" si="9"/>
        <v>2943.278901098899</v>
      </c>
    </row>
    <row r="14" spans="1:34" ht="13.5" thickBot="1" x14ac:dyDescent="0.25">
      <c r="A14" s="182" t="s">
        <v>52</v>
      </c>
      <c r="B14" s="223" t="s">
        <v>53</v>
      </c>
      <c r="C14" s="224" t="s">
        <v>54</v>
      </c>
      <c r="D14" s="225" t="s">
        <v>55</v>
      </c>
      <c r="E14" s="225" t="s">
        <v>26</v>
      </c>
      <c r="F14" s="226" t="s">
        <v>56</v>
      </c>
      <c r="G14" s="227">
        <v>1</v>
      </c>
      <c r="H14" s="228"/>
      <c r="I14" s="285"/>
      <c r="J14" s="286"/>
      <c r="K14" s="287"/>
      <c r="L14" s="288"/>
      <c r="M14" s="288"/>
      <c r="N14" s="288"/>
      <c r="O14" s="288">
        <v>0</v>
      </c>
      <c r="P14" s="288">
        <v>1.79</v>
      </c>
      <c r="Q14" s="288">
        <v>7</v>
      </c>
      <c r="R14" s="288">
        <v>12.29</v>
      </c>
      <c r="S14" s="288">
        <v>18.809999999999999</v>
      </c>
      <c r="T14" s="288">
        <v>26.81</v>
      </c>
      <c r="U14" s="288">
        <v>34.049999999999997</v>
      </c>
      <c r="V14" s="288">
        <v>1</v>
      </c>
      <c r="W14" s="312"/>
      <c r="X14" s="312"/>
      <c r="Y14" s="312">
        <f t="shared" si="3"/>
        <v>1.79</v>
      </c>
      <c r="Z14" s="312">
        <f t="shared" si="4"/>
        <v>5.21</v>
      </c>
      <c r="AA14" s="312">
        <f t="shared" si="5"/>
        <v>5.2899999999999991</v>
      </c>
      <c r="AB14" s="312">
        <f t="shared" si="6"/>
        <v>6.52</v>
      </c>
      <c r="AC14" s="309">
        <f t="shared" si="7"/>
        <v>8</v>
      </c>
      <c r="AD14" s="309">
        <f t="shared" si="8"/>
        <v>7.2399999999999984</v>
      </c>
      <c r="AE14" s="322">
        <v>57.375430000000001</v>
      </c>
      <c r="AF14" s="316">
        <f t="shared" si="9"/>
        <v>415.3981131999999</v>
      </c>
    </row>
    <row r="15" spans="1:34" ht="13.5" thickBot="1" x14ac:dyDescent="0.25">
      <c r="A15" s="182" t="s">
        <v>19</v>
      </c>
      <c r="B15" s="209">
        <v>10</v>
      </c>
      <c r="C15" s="210" t="s">
        <v>57</v>
      </c>
      <c r="D15" s="196" t="s">
        <v>58</v>
      </c>
      <c r="E15" s="196" t="s">
        <v>23</v>
      </c>
      <c r="F15" s="211" t="s">
        <v>59</v>
      </c>
      <c r="G15" s="212">
        <v>10</v>
      </c>
      <c r="H15" s="197" t="s">
        <v>60</v>
      </c>
      <c r="I15" s="265">
        <v>45200</v>
      </c>
      <c r="J15" s="277" t="s">
        <v>61</v>
      </c>
      <c r="K15" s="267"/>
      <c r="L15" s="268">
        <v>7101</v>
      </c>
      <c r="M15" s="268">
        <v>7177</v>
      </c>
      <c r="N15" s="268">
        <v>7314</v>
      </c>
      <c r="O15" s="268">
        <v>7481</v>
      </c>
      <c r="P15" s="268">
        <v>7628</v>
      </c>
      <c r="Q15" s="268">
        <v>7706</v>
      </c>
      <c r="R15" s="268">
        <v>7814</v>
      </c>
      <c r="S15" s="268">
        <v>7856</v>
      </c>
      <c r="T15" s="268">
        <v>7964</v>
      </c>
      <c r="U15" s="268">
        <v>8058</v>
      </c>
      <c r="V15" s="268">
        <v>1</v>
      </c>
      <c r="W15" s="309">
        <f t="shared" ref="W15:X18" si="10">M15-L15</f>
        <v>76</v>
      </c>
      <c r="X15" s="309">
        <f t="shared" si="10"/>
        <v>137</v>
      </c>
      <c r="Y15" s="309">
        <f t="shared" si="3"/>
        <v>147</v>
      </c>
      <c r="Z15" s="309">
        <f t="shared" si="4"/>
        <v>78</v>
      </c>
      <c r="AA15" s="309">
        <f t="shared" si="5"/>
        <v>108</v>
      </c>
      <c r="AB15" s="309">
        <f t="shared" si="6"/>
        <v>42</v>
      </c>
      <c r="AC15" s="309">
        <f t="shared" si="7"/>
        <v>108</v>
      </c>
      <c r="AD15" s="309">
        <f t="shared" si="8"/>
        <v>94</v>
      </c>
      <c r="AE15" s="320">
        <v>11.911944</v>
      </c>
      <c r="AF15" s="316">
        <v>1120</v>
      </c>
    </row>
    <row r="16" spans="1:34" ht="14.45" customHeight="1" thickBot="1" x14ac:dyDescent="0.25">
      <c r="A16" s="182" t="s">
        <v>19</v>
      </c>
      <c r="B16" s="229">
        <v>10</v>
      </c>
      <c r="C16" s="230" t="s">
        <v>57</v>
      </c>
      <c r="D16" s="414" t="s">
        <v>62</v>
      </c>
      <c r="E16" s="231" t="s">
        <v>23</v>
      </c>
      <c r="F16" s="232"/>
      <c r="G16" s="430">
        <v>10</v>
      </c>
      <c r="H16" s="421" t="s">
        <v>35</v>
      </c>
      <c r="I16" s="289"/>
      <c r="J16" s="290"/>
      <c r="K16" s="291"/>
      <c r="L16" s="292">
        <v>53603</v>
      </c>
      <c r="M16" s="292">
        <v>54350</v>
      </c>
      <c r="N16" s="292">
        <v>55265</v>
      </c>
      <c r="O16" s="292">
        <v>56312</v>
      </c>
      <c r="P16" s="292">
        <v>57114</v>
      </c>
      <c r="Q16" s="292">
        <v>57785</v>
      </c>
      <c r="R16" s="292">
        <v>58312</v>
      </c>
      <c r="S16" s="292">
        <v>58818</v>
      </c>
      <c r="T16" s="292">
        <v>59401</v>
      </c>
      <c r="U16" s="292">
        <v>59401</v>
      </c>
      <c r="V16" s="292">
        <v>1</v>
      </c>
      <c r="W16" s="233">
        <f t="shared" si="10"/>
        <v>747</v>
      </c>
      <c r="X16" s="233">
        <f t="shared" si="10"/>
        <v>915</v>
      </c>
      <c r="Y16" s="233">
        <f t="shared" si="3"/>
        <v>802</v>
      </c>
      <c r="Z16" s="233">
        <f t="shared" si="4"/>
        <v>671</v>
      </c>
      <c r="AA16" s="233">
        <f t="shared" si="5"/>
        <v>527</v>
      </c>
      <c r="AB16" s="233">
        <f t="shared" si="6"/>
        <v>506</v>
      </c>
      <c r="AC16" s="309">
        <f t="shared" si="7"/>
        <v>583</v>
      </c>
      <c r="AD16" s="309">
        <f t="shared" si="8"/>
        <v>0</v>
      </c>
      <c r="AE16" s="323">
        <f>AE15</f>
        <v>11.911944</v>
      </c>
      <c r="AF16" s="316">
        <f t="shared" si="9"/>
        <v>0</v>
      </c>
    </row>
    <row r="17" spans="1:34" ht="13.5" thickBot="1" x14ac:dyDescent="0.25">
      <c r="A17" s="182" t="s">
        <v>19</v>
      </c>
      <c r="B17" s="229">
        <v>10</v>
      </c>
      <c r="C17" s="230" t="s">
        <v>57</v>
      </c>
      <c r="D17" s="414"/>
      <c r="E17" s="231" t="s">
        <v>26</v>
      </c>
      <c r="F17" s="232" t="s">
        <v>63</v>
      </c>
      <c r="G17" s="430"/>
      <c r="H17" s="421"/>
      <c r="I17" s="289">
        <v>45778</v>
      </c>
      <c r="J17" s="293" t="s">
        <v>64</v>
      </c>
      <c r="K17" s="291"/>
      <c r="L17" s="292">
        <v>70</v>
      </c>
      <c r="M17" s="292">
        <v>72</v>
      </c>
      <c r="N17" s="292">
        <v>74</v>
      </c>
      <c r="O17" s="292">
        <v>75</v>
      </c>
      <c r="P17" s="292">
        <v>76</v>
      </c>
      <c r="Q17" s="292">
        <v>78</v>
      </c>
      <c r="R17" s="292">
        <v>80</v>
      </c>
      <c r="S17" s="292">
        <v>81</v>
      </c>
      <c r="T17" s="292">
        <v>83</v>
      </c>
      <c r="U17" s="292">
        <v>83</v>
      </c>
      <c r="V17" s="292">
        <v>1</v>
      </c>
      <c r="W17" s="233">
        <f t="shared" si="10"/>
        <v>2</v>
      </c>
      <c r="X17" s="233">
        <f t="shared" si="10"/>
        <v>2</v>
      </c>
      <c r="Y17" s="233">
        <f t="shared" si="3"/>
        <v>1</v>
      </c>
      <c r="Z17" s="233">
        <f t="shared" si="4"/>
        <v>2</v>
      </c>
      <c r="AA17" s="233">
        <f t="shared" si="5"/>
        <v>2</v>
      </c>
      <c r="AB17" s="233">
        <f t="shared" si="6"/>
        <v>1</v>
      </c>
      <c r="AC17" s="309">
        <f t="shared" si="7"/>
        <v>2</v>
      </c>
      <c r="AD17" s="309">
        <f t="shared" si="8"/>
        <v>0</v>
      </c>
      <c r="AE17" s="323">
        <v>49.98</v>
      </c>
      <c r="AF17" s="316">
        <f t="shared" si="9"/>
        <v>0</v>
      </c>
    </row>
    <row r="18" spans="1:34" ht="13.5" thickBot="1" x14ac:dyDescent="0.25">
      <c r="A18" s="182" t="s">
        <v>19</v>
      </c>
      <c r="B18" s="229">
        <v>10</v>
      </c>
      <c r="C18" s="230" t="s">
        <v>57</v>
      </c>
      <c r="D18" s="231" t="s">
        <v>65</v>
      </c>
      <c r="E18" s="231" t="s">
        <v>23</v>
      </c>
      <c r="F18" s="232" t="s">
        <v>66</v>
      </c>
      <c r="G18" s="235">
        <v>18</v>
      </c>
      <c r="H18" s="234" t="s">
        <v>67</v>
      </c>
      <c r="I18" s="289">
        <v>45352</v>
      </c>
      <c r="J18" s="290" t="s">
        <v>68</v>
      </c>
      <c r="K18" s="291"/>
      <c r="L18" s="292">
        <v>13297</v>
      </c>
      <c r="M18" s="292">
        <v>13361</v>
      </c>
      <c r="N18" s="292">
        <v>13414</v>
      </c>
      <c r="O18" s="292">
        <v>13478</v>
      </c>
      <c r="P18" s="292">
        <v>13537</v>
      </c>
      <c r="Q18" s="292">
        <v>13591</v>
      </c>
      <c r="R18" s="292">
        <v>13644</v>
      </c>
      <c r="S18" s="292">
        <v>13697</v>
      </c>
      <c r="T18" s="292">
        <v>13743</v>
      </c>
      <c r="U18" s="292">
        <v>13883</v>
      </c>
      <c r="V18" s="292">
        <v>1</v>
      </c>
      <c r="W18" s="233">
        <f t="shared" si="10"/>
        <v>64</v>
      </c>
      <c r="X18" s="233">
        <f t="shared" si="10"/>
        <v>53</v>
      </c>
      <c r="Y18" s="233">
        <f t="shared" si="3"/>
        <v>59</v>
      </c>
      <c r="Z18" s="233">
        <f t="shared" si="4"/>
        <v>54</v>
      </c>
      <c r="AA18" s="233">
        <f t="shared" si="5"/>
        <v>53</v>
      </c>
      <c r="AB18" s="233">
        <f t="shared" si="6"/>
        <v>53</v>
      </c>
      <c r="AC18" s="309">
        <f t="shared" si="7"/>
        <v>46</v>
      </c>
      <c r="AD18" s="309">
        <f t="shared" si="8"/>
        <v>140</v>
      </c>
      <c r="AE18" s="323">
        <f>AE15</f>
        <v>11.911944</v>
      </c>
      <c r="AF18" s="316">
        <f t="shared" si="9"/>
        <v>1667.6721600000001</v>
      </c>
    </row>
    <row r="19" spans="1:34" ht="13.5" thickBot="1" x14ac:dyDescent="0.25">
      <c r="B19" s="229">
        <v>10</v>
      </c>
      <c r="C19" s="230" t="s">
        <v>57</v>
      </c>
      <c r="D19" s="231" t="s">
        <v>69</v>
      </c>
      <c r="E19" s="231" t="s">
        <v>23</v>
      </c>
      <c r="F19" s="232" t="s">
        <v>70</v>
      </c>
      <c r="G19" s="235"/>
      <c r="H19" s="234"/>
      <c r="I19" s="289"/>
      <c r="J19" s="290"/>
      <c r="K19" s="291"/>
      <c r="L19" s="292"/>
      <c r="M19" s="292"/>
      <c r="N19" s="292"/>
      <c r="O19" s="292"/>
      <c r="P19" s="292"/>
      <c r="Q19" s="292"/>
      <c r="R19" s="292"/>
      <c r="S19" s="292">
        <v>1040</v>
      </c>
      <c r="T19" s="292">
        <v>1114</v>
      </c>
      <c r="U19" s="292">
        <v>1114</v>
      </c>
      <c r="V19" s="292">
        <v>1</v>
      </c>
      <c r="W19" s="233"/>
      <c r="X19" s="233"/>
      <c r="Y19" s="233"/>
      <c r="Z19" s="233"/>
      <c r="AA19" s="233"/>
      <c r="AB19" s="233"/>
      <c r="AC19" s="309">
        <f t="shared" ref="AC19:AC59" si="11">T19-S19</f>
        <v>74</v>
      </c>
      <c r="AD19" s="309">
        <f t="shared" si="8"/>
        <v>0</v>
      </c>
      <c r="AE19" s="323">
        <f>AE16</f>
        <v>11.911944</v>
      </c>
      <c r="AF19" s="316">
        <f t="shared" si="9"/>
        <v>0</v>
      </c>
    </row>
    <row r="20" spans="1:34" ht="14.45" customHeight="1" thickBot="1" x14ac:dyDescent="0.25">
      <c r="A20" s="182" t="s">
        <v>19</v>
      </c>
      <c r="B20" s="229">
        <v>10</v>
      </c>
      <c r="C20" s="230" t="s">
        <v>57</v>
      </c>
      <c r="D20" s="414" t="s">
        <v>71</v>
      </c>
      <c r="E20" s="231" t="s">
        <v>23</v>
      </c>
      <c r="F20" s="216" t="s">
        <v>72</v>
      </c>
      <c r="G20" s="430">
        <v>130</v>
      </c>
      <c r="H20" s="421" t="s">
        <v>73</v>
      </c>
      <c r="I20" s="289"/>
      <c r="J20" s="290"/>
      <c r="K20" s="411"/>
      <c r="L20" s="292">
        <v>381253</v>
      </c>
      <c r="M20" s="292">
        <v>383658</v>
      </c>
      <c r="N20" s="292">
        <v>386424</v>
      </c>
      <c r="O20" s="292">
        <v>390122</v>
      </c>
      <c r="P20" s="292">
        <v>393305</v>
      </c>
      <c r="Q20" s="292">
        <v>395914</v>
      </c>
      <c r="R20" s="292">
        <v>398016</v>
      </c>
      <c r="S20" s="292">
        <v>399645</v>
      </c>
      <c r="T20" s="292">
        <v>401912</v>
      </c>
      <c r="U20" s="292">
        <v>404497</v>
      </c>
      <c r="V20" s="292">
        <v>1</v>
      </c>
      <c r="W20" s="233">
        <f t="shared" ref="W20:W54" si="12">M20-L20</f>
        <v>2405</v>
      </c>
      <c r="X20" s="233">
        <f t="shared" ref="X20:X54" si="13">N20-M20</f>
        <v>2766</v>
      </c>
      <c r="Y20" s="233">
        <f t="shared" ref="Y20:AB23" si="14">P20-O20</f>
        <v>3183</v>
      </c>
      <c r="Z20" s="233">
        <f t="shared" si="14"/>
        <v>2609</v>
      </c>
      <c r="AA20" s="233">
        <f t="shared" si="14"/>
        <v>2102</v>
      </c>
      <c r="AB20" s="233">
        <f t="shared" si="14"/>
        <v>1629</v>
      </c>
      <c r="AC20" s="309">
        <f t="shared" si="11"/>
        <v>2267</v>
      </c>
      <c r="AD20" s="309">
        <f t="shared" si="8"/>
        <v>2585</v>
      </c>
      <c r="AE20" s="323">
        <f>AE15</f>
        <v>11.911944</v>
      </c>
      <c r="AF20" s="316">
        <f t="shared" si="9"/>
        <v>30792.375240000001</v>
      </c>
    </row>
    <row r="21" spans="1:34" ht="13.5" thickBot="1" x14ac:dyDescent="0.25">
      <c r="A21" s="182" t="s">
        <v>19</v>
      </c>
      <c r="B21" s="213">
        <v>10</v>
      </c>
      <c r="C21" s="214" t="s">
        <v>57</v>
      </c>
      <c r="D21" s="435"/>
      <c r="E21" s="215" t="s">
        <v>26</v>
      </c>
      <c r="F21" s="216" t="s">
        <v>72</v>
      </c>
      <c r="G21" s="431"/>
      <c r="H21" s="420"/>
      <c r="I21" s="278">
        <v>45413</v>
      </c>
      <c r="J21" s="279" t="s">
        <v>74</v>
      </c>
      <c r="K21" s="412"/>
      <c r="L21" s="281">
        <v>1287</v>
      </c>
      <c r="M21" s="281">
        <v>1481</v>
      </c>
      <c r="N21" s="281">
        <v>1651</v>
      </c>
      <c r="O21" s="281">
        <v>1824</v>
      </c>
      <c r="P21" s="281">
        <v>1989</v>
      </c>
      <c r="Q21" s="281">
        <v>2161</v>
      </c>
      <c r="R21" s="281">
        <v>2282</v>
      </c>
      <c r="S21" s="281">
        <v>2525</v>
      </c>
      <c r="T21" s="281">
        <v>2782</v>
      </c>
      <c r="U21" s="281">
        <v>2940</v>
      </c>
      <c r="V21" s="281">
        <v>1</v>
      </c>
      <c r="W21" s="236">
        <f t="shared" si="12"/>
        <v>194</v>
      </c>
      <c r="X21" s="236">
        <f t="shared" si="13"/>
        <v>170</v>
      </c>
      <c r="Y21" s="236">
        <f t="shared" si="14"/>
        <v>165</v>
      </c>
      <c r="Z21" s="236">
        <f t="shared" si="14"/>
        <v>172</v>
      </c>
      <c r="AA21" s="236">
        <f t="shared" si="14"/>
        <v>121</v>
      </c>
      <c r="AB21" s="236">
        <f t="shared" si="14"/>
        <v>243</v>
      </c>
      <c r="AC21" s="309">
        <f t="shared" si="11"/>
        <v>257</v>
      </c>
      <c r="AD21" s="309">
        <f t="shared" si="8"/>
        <v>158</v>
      </c>
      <c r="AE21" s="320">
        <f>AE17</f>
        <v>49.98</v>
      </c>
      <c r="AF21" s="316">
        <f t="shared" si="9"/>
        <v>7896.8399999999992</v>
      </c>
      <c r="AG21" s="324"/>
    </row>
    <row r="22" spans="1:34" ht="13.5" thickBot="1" x14ac:dyDescent="0.25">
      <c r="A22" s="182" t="s">
        <v>52</v>
      </c>
      <c r="B22" s="194" t="s">
        <v>75</v>
      </c>
      <c r="C22" s="210" t="s">
        <v>76</v>
      </c>
      <c r="D22" s="196" t="s">
        <v>28</v>
      </c>
      <c r="E22" s="196" t="s">
        <v>26</v>
      </c>
      <c r="F22" s="211" t="s">
        <v>29</v>
      </c>
      <c r="G22" s="212">
        <v>1</v>
      </c>
      <c r="H22" s="197" t="s">
        <v>30</v>
      </c>
      <c r="I22" s="265">
        <v>45689</v>
      </c>
      <c r="J22" s="277" t="s">
        <v>77</v>
      </c>
      <c r="K22" s="267"/>
      <c r="L22" s="268">
        <v>512.53</v>
      </c>
      <c r="M22" s="268">
        <v>532.35</v>
      </c>
      <c r="N22" s="268">
        <v>556</v>
      </c>
      <c r="O22" s="268">
        <v>579.72</v>
      </c>
      <c r="P22" s="268">
        <v>601.44000000000005</v>
      </c>
      <c r="Q22" s="268">
        <v>629.5</v>
      </c>
      <c r="R22" s="268">
        <v>654.20000000000005</v>
      </c>
      <c r="S22" s="268">
        <v>675.03</v>
      </c>
      <c r="T22" s="268">
        <v>698.24</v>
      </c>
      <c r="U22" s="268">
        <v>706.77</v>
      </c>
      <c r="V22" s="268">
        <v>1</v>
      </c>
      <c r="W22" s="309">
        <f t="shared" si="12"/>
        <v>19.82000000000005</v>
      </c>
      <c r="X22" s="309">
        <f t="shared" si="13"/>
        <v>23.649999999999977</v>
      </c>
      <c r="Y22" s="309">
        <f t="shared" si="14"/>
        <v>21.720000000000027</v>
      </c>
      <c r="Z22" s="309">
        <f t="shared" si="14"/>
        <v>28.059999999999945</v>
      </c>
      <c r="AA22" s="309">
        <f t="shared" si="14"/>
        <v>24.700000000000045</v>
      </c>
      <c r="AB22" s="309">
        <f t="shared" si="14"/>
        <v>20.829999999999927</v>
      </c>
      <c r="AC22" s="309">
        <f t="shared" si="11"/>
        <v>23.210000000000036</v>
      </c>
      <c r="AD22" s="309">
        <f t="shared" si="8"/>
        <v>8.5299999999999727</v>
      </c>
      <c r="AE22" s="315">
        <f>AE21</f>
        <v>49.98</v>
      </c>
      <c r="AF22" s="316">
        <f t="shared" si="9"/>
        <v>426.3293999999986</v>
      </c>
    </row>
    <row r="23" spans="1:34" ht="15" customHeight="1" thickBot="1" x14ac:dyDescent="0.25">
      <c r="A23" s="182" t="s">
        <v>52</v>
      </c>
      <c r="B23" s="198" t="s">
        <v>75</v>
      </c>
      <c r="C23" s="237" t="s">
        <v>76</v>
      </c>
      <c r="D23" s="238" t="s">
        <v>49</v>
      </c>
      <c r="E23" s="238" t="s">
        <v>23</v>
      </c>
      <c r="F23" s="239" t="s">
        <v>50</v>
      </c>
      <c r="G23" s="240">
        <v>1</v>
      </c>
      <c r="H23" s="201" t="s">
        <v>41</v>
      </c>
      <c r="I23" s="269">
        <v>45392</v>
      </c>
      <c r="J23" s="294" t="s">
        <v>78</v>
      </c>
      <c r="K23" s="295"/>
      <c r="L23" s="272"/>
      <c r="M23" s="272"/>
      <c r="N23" s="272"/>
      <c r="O23" s="272">
        <v>1</v>
      </c>
      <c r="P23" s="272">
        <v>39.9</v>
      </c>
      <c r="Q23" s="272">
        <v>140.19999999999999</v>
      </c>
      <c r="R23" s="272">
        <v>254.2</v>
      </c>
      <c r="S23" s="272">
        <v>369.4</v>
      </c>
      <c r="T23" s="272">
        <v>484.3</v>
      </c>
      <c r="U23" s="272">
        <v>644</v>
      </c>
      <c r="V23" s="272">
        <v>1</v>
      </c>
      <c r="W23" s="310">
        <f t="shared" si="12"/>
        <v>0</v>
      </c>
      <c r="X23" s="310">
        <f t="shared" si="13"/>
        <v>0</v>
      </c>
      <c r="Y23" s="310">
        <f t="shared" si="14"/>
        <v>38.9</v>
      </c>
      <c r="Z23" s="310">
        <f t="shared" si="14"/>
        <v>100.29999999999998</v>
      </c>
      <c r="AA23" s="310">
        <f t="shared" si="14"/>
        <v>114</v>
      </c>
      <c r="AB23" s="310">
        <f t="shared" si="14"/>
        <v>115.19999999999999</v>
      </c>
      <c r="AC23" s="309">
        <f t="shared" si="11"/>
        <v>114.90000000000003</v>
      </c>
      <c r="AD23" s="309">
        <f t="shared" si="8"/>
        <v>159.69999999999999</v>
      </c>
      <c r="AE23" s="323">
        <v>11.91194</v>
      </c>
      <c r="AF23" s="316">
        <f t="shared" si="9"/>
        <v>1902.3368179999998</v>
      </c>
    </row>
    <row r="24" spans="1:34" ht="13.5" thickBot="1" x14ac:dyDescent="0.25">
      <c r="A24" s="182" t="s">
        <v>19</v>
      </c>
      <c r="B24" s="241">
        <v>12</v>
      </c>
      <c r="C24" s="242" t="s">
        <v>79</v>
      </c>
      <c r="D24" s="243" t="s">
        <v>80</v>
      </c>
      <c r="E24" s="243" t="s">
        <v>23</v>
      </c>
      <c r="F24" s="244" t="s">
        <v>81</v>
      </c>
      <c r="G24" s="245">
        <v>3</v>
      </c>
      <c r="H24" s="243" t="s">
        <v>82</v>
      </c>
      <c r="I24" s="296">
        <v>44986</v>
      </c>
      <c r="J24" s="297" t="s">
        <v>83</v>
      </c>
      <c r="K24" s="298"/>
      <c r="L24" s="299">
        <v>40619</v>
      </c>
      <c r="M24" s="299">
        <v>41398.300000000003</v>
      </c>
      <c r="N24" s="299">
        <v>42138</v>
      </c>
      <c r="O24" s="300">
        <v>42877.9</v>
      </c>
      <c r="P24" s="299">
        <v>0</v>
      </c>
      <c r="Q24" s="299">
        <v>585.91</v>
      </c>
      <c r="R24" s="299">
        <v>1303.9000000000001</v>
      </c>
      <c r="S24" s="299">
        <v>1994.92</v>
      </c>
      <c r="T24" s="299">
        <v>2689.01</v>
      </c>
      <c r="U24" s="299">
        <v>3416.2</v>
      </c>
      <c r="V24" s="299">
        <v>1</v>
      </c>
      <c r="W24" s="313">
        <f t="shared" si="12"/>
        <v>779.30000000000291</v>
      </c>
      <c r="X24" s="313">
        <f t="shared" si="13"/>
        <v>739.69999999999709</v>
      </c>
      <c r="Y24" s="313">
        <v>790</v>
      </c>
      <c r="Z24" s="313">
        <v>710</v>
      </c>
      <c r="AA24" s="313">
        <f t="shared" ref="AA24:AA54" si="15">R24-Q24</f>
        <v>717.99000000000012</v>
      </c>
      <c r="AB24" s="313">
        <f t="shared" ref="AB24:AB54" si="16">S24-R24</f>
        <v>691.02</v>
      </c>
      <c r="AC24" s="309">
        <f t="shared" si="11"/>
        <v>694.09000000000015</v>
      </c>
      <c r="AD24" s="309">
        <f t="shared" si="8"/>
        <v>727.1899999999996</v>
      </c>
      <c r="AE24" s="323">
        <v>11.91194</v>
      </c>
      <c r="AF24" s="316">
        <f t="shared" si="9"/>
        <v>8662.2436485999951</v>
      </c>
    </row>
    <row r="25" spans="1:34" ht="15" customHeight="1" thickBot="1" x14ac:dyDescent="0.25">
      <c r="A25" s="182" t="s">
        <v>19</v>
      </c>
      <c r="B25" s="213">
        <v>12</v>
      </c>
      <c r="C25" s="214" t="s">
        <v>79</v>
      </c>
      <c r="D25" s="215" t="s">
        <v>84</v>
      </c>
      <c r="E25" s="215" t="s">
        <v>23</v>
      </c>
      <c r="F25" s="216" t="s">
        <v>85</v>
      </c>
      <c r="G25" s="217">
        <v>3</v>
      </c>
      <c r="H25" s="215" t="s">
        <v>82</v>
      </c>
      <c r="I25" s="278">
        <v>45693</v>
      </c>
      <c r="J25" s="279" t="s">
        <v>86</v>
      </c>
      <c r="K25" s="280"/>
      <c r="L25" s="281">
        <v>27659.7</v>
      </c>
      <c r="M25" s="281">
        <v>28621.5</v>
      </c>
      <c r="N25" s="281">
        <v>29610</v>
      </c>
      <c r="O25" s="281">
        <v>30601.599999999999</v>
      </c>
      <c r="P25" s="281">
        <v>31668.7</v>
      </c>
      <c r="Q25" s="281">
        <v>33065.1</v>
      </c>
      <c r="R25" s="281">
        <v>34631.1</v>
      </c>
      <c r="S25" s="281">
        <v>36331.5</v>
      </c>
      <c r="T25" s="281">
        <v>38033.1</v>
      </c>
      <c r="U25" s="281">
        <v>39692.800000000003</v>
      </c>
      <c r="V25" s="281">
        <v>1</v>
      </c>
      <c r="W25" s="236">
        <f t="shared" si="12"/>
        <v>961.79999999999927</v>
      </c>
      <c r="X25" s="236">
        <f t="shared" si="13"/>
        <v>988.5</v>
      </c>
      <c r="Y25" s="236">
        <f t="shared" ref="Y25:Y54" si="17">P25-O25</f>
        <v>1067.1000000000022</v>
      </c>
      <c r="Z25" s="236">
        <f t="shared" ref="Z25:Z54" si="18">Q25-P25</f>
        <v>1396.3999999999978</v>
      </c>
      <c r="AA25" s="236">
        <f t="shared" si="15"/>
        <v>1566</v>
      </c>
      <c r="AB25" s="236">
        <f t="shared" si="16"/>
        <v>1700.4000000000015</v>
      </c>
      <c r="AC25" s="309">
        <f t="shared" si="11"/>
        <v>1701.5999999999985</v>
      </c>
      <c r="AD25" s="309">
        <f t="shared" si="8"/>
        <v>1659.7000000000044</v>
      </c>
      <c r="AE25" s="320">
        <f>AE24</f>
        <v>11.91194</v>
      </c>
      <c r="AF25" s="316">
        <f t="shared" si="9"/>
        <v>19770.246818000051</v>
      </c>
    </row>
    <row r="26" spans="1:34" ht="13.5" thickBot="1" x14ac:dyDescent="0.25">
      <c r="A26" s="182" t="s">
        <v>52</v>
      </c>
      <c r="B26" s="194" t="s">
        <v>87</v>
      </c>
      <c r="C26" s="210" t="s">
        <v>88</v>
      </c>
      <c r="D26" s="196" t="s">
        <v>89</v>
      </c>
      <c r="E26" s="196" t="s">
        <v>26</v>
      </c>
      <c r="F26" s="211" t="s">
        <v>90</v>
      </c>
      <c r="G26" s="212">
        <v>1</v>
      </c>
      <c r="H26" s="196" t="s">
        <v>30</v>
      </c>
      <c r="I26" s="265">
        <v>45627</v>
      </c>
      <c r="J26" s="277" t="s">
        <v>91</v>
      </c>
      <c r="K26" s="267"/>
      <c r="L26" s="268">
        <v>1126</v>
      </c>
      <c r="M26" s="268">
        <v>1143</v>
      </c>
      <c r="N26" s="268">
        <v>1158</v>
      </c>
      <c r="O26" s="268">
        <v>1174</v>
      </c>
      <c r="P26" s="268">
        <v>1194</v>
      </c>
      <c r="Q26" s="268">
        <v>1220</v>
      </c>
      <c r="R26" s="268">
        <v>1237</v>
      </c>
      <c r="S26" s="268">
        <v>1259</v>
      </c>
      <c r="T26" s="268">
        <v>1283</v>
      </c>
      <c r="U26" s="268">
        <v>1309</v>
      </c>
      <c r="V26" s="268">
        <v>1</v>
      </c>
      <c r="W26" s="309">
        <f t="shared" si="12"/>
        <v>17</v>
      </c>
      <c r="X26" s="309">
        <f t="shared" si="13"/>
        <v>15</v>
      </c>
      <c r="Y26" s="309">
        <f t="shared" si="17"/>
        <v>20</v>
      </c>
      <c r="Z26" s="309">
        <f t="shared" si="18"/>
        <v>26</v>
      </c>
      <c r="AA26" s="309">
        <f t="shared" si="15"/>
        <v>17</v>
      </c>
      <c r="AB26" s="309">
        <f t="shared" si="16"/>
        <v>22</v>
      </c>
      <c r="AC26" s="309">
        <f t="shared" si="11"/>
        <v>24</v>
      </c>
      <c r="AD26" s="309">
        <f t="shared" si="8"/>
        <v>26</v>
      </c>
      <c r="AE26" s="315">
        <v>108.33047619047601</v>
      </c>
      <c r="AF26" s="316">
        <f t="shared" si="9"/>
        <v>2816.5923809523761</v>
      </c>
    </row>
    <row r="27" spans="1:34" ht="14.45" customHeight="1" thickBot="1" x14ac:dyDescent="0.25">
      <c r="A27" s="182" t="s">
        <v>52</v>
      </c>
      <c r="B27" s="246" t="s">
        <v>87</v>
      </c>
      <c r="C27" s="230" t="s">
        <v>88</v>
      </c>
      <c r="D27" s="414" t="s">
        <v>92</v>
      </c>
      <c r="E27" s="231" t="s">
        <v>23</v>
      </c>
      <c r="F27" s="232" t="s">
        <v>93</v>
      </c>
      <c r="G27" s="423">
        <v>40</v>
      </c>
      <c r="H27" s="422" t="s">
        <v>94</v>
      </c>
      <c r="I27" s="289">
        <v>45627</v>
      </c>
      <c r="J27" s="290" t="s">
        <v>95</v>
      </c>
      <c r="K27" s="411"/>
      <c r="L27" s="292">
        <v>12469</v>
      </c>
      <c r="M27" s="292">
        <v>12636</v>
      </c>
      <c r="N27" s="292">
        <v>12819</v>
      </c>
      <c r="O27" s="292">
        <v>12990</v>
      </c>
      <c r="P27" s="292">
        <v>13168</v>
      </c>
      <c r="Q27" s="292">
        <v>13349</v>
      </c>
      <c r="R27" s="292">
        <v>13515</v>
      </c>
      <c r="S27" s="292">
        <v>13733</v>
      </c>
      <c r="T27" s="292">
        <v>13931</v>
      </c>
      <c r="U27" s="292">
        <v>14230</v>
      </c>
      <c r="V27" s="292">
        <v>1</v>
      </c>
      <c r="W27" s="233">
        <f t="shared" si="12"/>
        <v>167</v>
      </c>
      <c r="X27" s="233">
        <f t="shared" si="13"/>
        <v>183</v>
      </c>
      <c r="Y27" s="233">
        <f t="shared" si="17"/>
        <v>178</v>
      </c>
      <c r="Z27" s="233">
        <f t="shared" si="18"/>
        <v>181</v>
      </c>
      <c r="AA27" s="233">
        <f t="shared" si="15"/>
        <v>166</v>
      </c>
      <c r="AB27" s="233">
        <f t="shared" si="16"/>
        <v>218</v>
      </c>
      <c r="AC27" s="309">
        <f t="shared" si="11"/>
        <v>198</v>
      </c>
      <c r="AD27" s="309">
        <f t="shared" si="8"/>
        <v>299</v>
      </c>
      <c r="AE27" s="323">
        <v>12.197471999999999</v>
      </c>
      <c r="AF27" s="316">
        <f t="shared" si="9"/>
        <v>3647.044128</v>
      </c>
      <c r="AH27" s="188">
        <f>1.2*10.16456</f>
        <v>12.197471999999999</v>
      </c>
    </row>
    <row r="28" spans="1:34" ht="14.45" customHeight="1" thickBot="1" x14ac:dyDescent="0.25">
      <c r="A28" s="182" t="s">
        <v>52</v>
      </c>
      <c r="B28" s="246" t="s">
        <v>87</v>
      </c>
      <c r="C28" s="230" t="s">
        <v>88</v>
      </c>
      <c r="D28" s="414"/>
      <c r="E28" s="231" t="s">
        <v>26</v>
      </c>
      <c r="F28" s="232"/>
      <c r="G28" s="423"/>
      <c r="H28" s="422"/>
      <c r="I28" s="289"/>
      <c r="J28" s="290"/>
      <c r="K28" s="411"/>
      <c r="L28" s="292">
        <v>33</v>
      </c>
      <c r="M28" s="292">
        <v>34</v>
      </c>
      <c r="N28" s="292">
        <v>35</v>
      </c>
      <c r="O28" s="292">
        <v>36</v>
      </c>
      <c r="P28" s="292">
        <v>37</v>
      </c>
      <c r="Q28" s="292">
        <v>40</v>
      </c>
      <c r="R28" s="292">
        <v>41</v>
      </c>
      <c r="S28" s="292">
        <v>43</v>
      </c>
      <c r="T28" s="292">
        <v>46</v>
      </c>
      <c r="U28" s="292">
        <v>48</v>
      </c>
      <c r="V28" s="292">
        <v>1</v>
      </c>
      <c r="W28" s="233">
        <f t="shared" si="12"/>
        <v>1</v>
      </c>
      <c r="X28" s="233">
        <f t="shared" si="13"/>
        <v>1</v>
      </c>
      <c r="Y28" s="233">
        <f t="shared" si="17"/>
        <v>1</v>
      </c>
      <c r="Z28" s="233">
        <f t="shared" si="18"/>
        <v>3</v>
      </c>
      <c r="AA28" s="233">
        <f t="shared" si="15"/>
        <v>1</v>
      </c>
      <c r="AB28" s="233">
        <f t="shared" si="16"/>
        <v>2</v>
      </c>
      <c r="AC28" s="309">
        <f t="shared" si="11"/>
        <v>3</v>
      </c>
      <c r="AD28" s="309">
        <f t="shared" si="8"/>
        <v>2</v>
      </c>
      <c r="AE28" s="323">
        <f>AE26</f>
        <v>108.33047619047601</v>
      </c>
      <c r="AF28" s="316">
        <f t="shared" si="9"/>
        <v>216.66095238095201</v>
      </c>
    </row>
    <row r="29" spans="1:34" ht="15" customHeight="1" thickBot="1" x14ac:dyDescent="0.25">
      <c r="A29" s="182" t="s">
        <v>52</v>
      </c>
      <c r="B29" s="219" t="s">
        <v>87</v>
      </c>
      <c r="C29" s="214" t="s">
        <v>88</v>
      </c>
      <c r="D29" s="247" t="s">
        <v>96</v>
      </c>
      <c r="E29" s="247" t="s">
        <v>23</v>
      </c>
      <c r="F29" s="221" t="s">
        <v>97</v>
      </c>
      <c r="G29" s="217">
        <v>1</v>
      </c>
      <c r="H29" s="218" t="s">
        <v>41</v>
      </c>
      <c r="I29" s="278">
        <v>45793</v>
      </c>
      <c r="J29" s="282" t="s">
        <v>98</v>
      </c>
      <c r="K29" s="301"/>
      <c r="L29" s="281"/>
      <c r="M29" s="281">
        <v>0</v>
      </c>
      <c r="N29" s="281">
        <v>0</v>
      </c>
      <c r="O29" s="281">
        <v>53.2</v>
      </c>
      <c r="P29" s="281">
        <v>106</v>
      </c>
      <c r="Q29" s="281">
        <v>160</v>
      </c>
      <c r="R29" s="281">
        <v>211</v>
      </c>
      <c r="S29" s="281">
        <v>254</v>
      </c>
      <c r="T29" s="281">
        <v>289</v>
      </c>
      <c r="U29" s="281">
        <v>375</v>
      </c>
      <c r="V29" s="281">
        <v>1</v>
      </c>
      <c r="W29" s="236">
        <f t="shared" si="12"/>
        <v>0</v>
      </c>
      <c r="X29" s="236">
        <f t="shared" si="13"/>
        <v>0</v>
      </c>
      <c r="Y29" s="236">
        <f t="shared" si="17"/>
        <v>52.8</v>
      </c>
      <c r="Z29" s="236">
        <f t="shared" si="18"/>
        <v>54</v>
      </c>
      <c r="AA29" s="236">
        <f t="shared" si="15"/>
        <v>51</v>
      </c>
      <c r="AB29" s="236">
        <f t="shared" si="16"/>
        <v>43</v>
      </c>
      <c r="AC29" s="309">
        <f t="shared" si="11"/>
        <v>35</v>
      </c>
      <c r="AD29" s="309">
        <f t="shared" si="8"/>
        <v>86</v>
      </c>
      <c r="AE29" s="320">
        <f>AE27</f>
        <v>12.197471999999999</v>
      </c>
      <c r="AF29" s="316">
        <f t="shared" si="9"/>
        <v>1048.9825919999998</v>
      </c>
    </row>
    <row r="30" spans="1:34" ht="13.5" thickBot="1" x14ac:dyDescent="0.25">
      <c r="A30" s="182" t="s">
        <v>19</v>
      </c>
      <c r="B30" s="248">
        <v>14</v>
      </c>
      <c r="C30" s="224" t="s">
        <v>99</v>
      </c>
      <c r="D30" s="225" t="s">
        <v>100</v>
      </c>
      <c r="E30" s="225" t="s">
        <v>26</v>
      </c>
      <c r="F30" s="226" t="s">
        <v>101</v>
      </c>
      <c r="G30" s="227">
        <v>1</v>
      </c>
      <c r="H30" s="225" t="s">
        <v>30</v>
      </c>
      <c r="I30" s="285">
        <v>45627</v>
      </c>
      <c r="J30" s="286" t="s">
        <v>102</v>
      </c>
      <c r="K30" s="287"/>
      <c r="L30" s="288">
        <v>2684</v>
      </c>
      <c r="M30" s="288">
        <v>2697</v>
      </c>
      <c r="N30" s="288">
        <v>2708</v>
      </c>
      <c r="O30" s="288">
        <v>2718</v>
      </c>
      <c r="P30" s="288">
        <v>2729</v>
      </c>
      <c r="Q30" s="288">
        <v>2741</v>
      </c>
      <c r="R30" s="288">
        <v>2752</v>
      </c>
      <c r="S30" s="288">
        <v>2765</v>
      </c>
      <c r="T30" s="288">
        <v>2776.3</v>
      </c>
      <c r="U30" s="288">
        <v>2785</v>
      </c>
      <c r="V30" s="288">
        <v>1</v>
      </c>
      <c r="W30" s="312">
        <f t="shared" si="12"/>
        <v>13</v>
      </c>
      <c r="X30" s="312">
        <f t="shared" si="13"/>
        <v>11</v>
      </c>
      <c r="Y30" s="312">
        <f t="shared" si="17"/>
        <v>11</v>
      </c>
      <c r="Z30" s="312">
        <f t="shared" si="18"/>
        <v>12</v>
      </c>
      <c r="AA30" s="312">
        <f t="shared" si="15"/>
        <v>11</v>
      </c>
      <c r="AB30" s="312">
        <f t="shared" si="16"/>
        <v>13</v>
      </c>
      <c r="AC30" s="309">
        <f t="shared" si="11"/>
        <v>11.300000000000182</v>
      </c>
      <c r="AD30" s="309">
        <f t="shared" si="8"/>
        <v>8.6999999999998181</v>
      </c>
      <c r="AE30" s="322">
        <v>49.98</v>
      </c>
      <c r="AF30" s="316">
        <f t="shared" si="9"/>
        <v>434.82599999999087</v>
      </c>
    </row>
    <row r="31" spans="1:34" ht="13.5" thickBot="1" x14ac:dyDescent="0.25">
      <c r="A31" s="182" t="s">
        <v>19</v>
      </c>
      <c r="B31" s="209">
        <v>15</v>
      </c>
      <c r="C31" s="210" t="s">
        <v>103</v>
      </c>
      <c r="D31" s="196" t="s">
        <v>28</v>
      </c>
      <c r="E31" s="196" t="s">
        <v>26</v>
      </c>
      <c r="F31" s="211" t="s">
        <v>29</v>
      </c>
      <c r="G31" s="212">
        <v>1</v>
      </c>
      <c r="H31" s="197" t="s">
        <v>30</v>
      </c>
      <c r="I31" s="265">
        <v>45689</v>
      </c>
      <c r="J31" s="277" t="s">
        <v>104</v>
      </c>
      <c r="K31" s="267"/>
      <c r="L31" s="268">
        <v>1226.76</v>
      </c>
      <c r="M31" s="268">
        <v>1233.82</v>
      </c>
      <c r="N31" s="268">
        <v>1240.9000000000001</v>
      </c>
      <c r="O31" s="268">
        <v>1247.6099999999999</v>
      </c>
      <c r="P31" s="268">
        <v>1253.3</v>
      </c>
      <c r="Q31" s="268">
        <v>1259.99</v>
      </c>
      <c r="R31" s="268">
        <v>1267.74</v>
      </c>
      <c r="S31" s="268">
        <v>1273.46</v>
      </c>
      <c r="T31" s="268">
        <v>1281.6600000000001</v>
      </c>
      <c r="U31" s="268">
        <v>1291.54</v>
      </c>
      <c r="V31" s="268">
        <v>1</v>
      </c>
      <c r="W31" s="309">
        <f t="shared" si="12"/>
        <v>7.0599999999999454</v>
      </c>
      <c r="X31" s="309">
        <f t="shared" si="13"/>
        <v>7.0800000000001546</v>
      </c>
      <c r="Y31" s="309">
        <f t="shared" si="17"/>
        <v>5.6900000000000546</v>
      </c>
      <c r="Z31" s="309">
        <f t="shared" si="18"/>
        <v>6.6900000000000546</v>
      </c>
      <c r="AA31" s="309">
        <f t="shared" si="15"/>
        <v>7.75</v>
      </c>
      <c r="AB31" s="309">
        <f t="shared" si="16"/>
        <v>5.7200000000000273</v>
      </c>
      <c r="AC31" s="309">
        <f t="shared" si="11"/>
        <v>8.2000000000000455</v>
      </c>
      <c r="AD31" s="309">
        <f t="shared" si="8"/>
        <v>9.8799999999998818</v>
      </c>
      <c r="AE31" s="315">
        <v>54.89</v>
      </c>
      <c r="AF31" s="316">
        <f t="shared" si="9"/>
        <v>542.31319999999357</v>
      </c>
    </row>
    <row r="32" spans="1:34" ht="14.45" customHeight="1" thickBot="1" x14ac:dyDescent="0.25">
      <c r="A32" s="182" t="s">
        <v>19</v>
      </c>
      <c r="B32" s="229">
        <v>15</v>
      </c>
      <c r="C32" s="230" t="s">
        <v>103</v>
      </c>
      <c r="D32" s="231" t="s">
        <v>105</v>
      </c>
      <c r="E32" s="231" t="s">
        <v>23</v>
      </c>
      <c r="F32" s="232" t="s">
        <v>106</v>
      </c>
      <c r="G32" s="235">
        <v>1</v>
      </c>
      <c r="H32" s="231" t="s">
        <v>107</v>
      </c>
      <c r="I32" s="289">
        <v>45261</v>
      </c>
      <c r="J32" s="290" t="s">
        <v>108</v>
      </c>
      <c r="K32" s="291"/>
      <c r="L32" s="292">
        <v>36811.160000000003</v>
      </c>
      <c r="M32" s="292">
        <v>37019.03</v>
      </c>
      <c r="N32" s="292">
        <v>37204.339999999997</v>
      </c>
      <c r="O32" s="292">
        <v>37633.31</v>
      </c>
      <c r="P32" s="292">
        <v>38273.78</v>
      </c>
      <c r="Q32" s="292">
        <v>38855.120000000003</v>
      </c>
      <c r="R32" s="292">
        <v>39731.75</v>
      </c>
      <c r="S32" s="292">
        <v>40076.699999999997</v>
      </c>
      <c r="T32" s="292">
        <v>40952.94</v>
      </c>
      <c r="U32" s="292">
        <v>41432.1</v>
      </c>
      <c r="V32" s="292">
        <v>1</v>
      </c>
      <c r="W32" s="233">
        <f t="shared" si="12"/>
        <v>207.86999999999534</v>
      </c>
      <c r="X32" s="233">
        <f t="shared" si="13"/>
        <v>185.30999999999767</v>
      </c>
      <c r="Y32" s="233">
        <f t="shared" si="17"/>
        <v>640.47000000000116</v>
      </c>
      <c r="Z32" s="233">
        <f t="shared" si="18"/>
        <v>581.34000000000378</v>
      </c>
      <c r="AA32" s="233">
        <f t="shared" si="15"/>
        <v>876.62999999999738</v>
      </c>
      <c r="AB32" s="233">
        <f t="shared" si="16"/>
        <v>344.94999999999709</v>
      </c>
      <c r="AC32" s="309">
        <f t="shared" si="11"/>
        <v>876.24000000000524</v>
      </c>
      <c r="AD32" s="309">
        <f t="shared" si="8"/>
        <v>479.15999999999622</v>
      </c>
      <c r="AE32" s="401">
        <v>11.974956000000001</v>
      </c>
      <c r="AF32" s="316">
        <f t="shared" si="9"/>
        <v>5737.9199169599551</v>
      </c>
      <c r="AH32" s="188">
        <f>1.2*9.97913</f>
        <v>11.974955999999999</v>
      </c>
    </row>
    <row r="33" spans="1:34" ht="14.45" customHeight="1" thickBot="1" x14ac:dyDescent="0.25">
      <c r="A33" s="182" t="s">
        <v>19</v>
      </c>
      <c r="B33" s="229">
        <v>15</v>
      </c>
      <c r="C33" s="230" t="s">
        <v>103</v>
      </c>
      <c r="D33" s="231" t="s">
        <v>109</v>
      </c>
      <c r="E33" s="231" t="s">
        <v>23</v>
      </c>
      <c r="F33" s="232" t="s">
        <v>110</v>
      </c>
      <c r="G33" s="235">
        <v>5</v>
      </c>
      <c r="H33" s="231" t="s">
        <v>82</v>
      </c>
      <c r="I33" s="289">
        <v>45292</v>
      </c>
      <c r="J33" s="290" t="s">
        <v>111</v>
      </c>
      <c r="K33" s="291"/>
      <c r="L33" s="292">
        <v>59790.7</v>
      </c>
      <c r="M33" s="292">
        <v>61444.2</v>
      </c>
      <c r="N33" s="292">
        <v>63020.3</v>
      </c>
      <c r="O33" s="292">
        <v>64712.1</v>
      </c>
      <c r="P33" s="292">
        <v>66329.899999999994</v>
      </c>
      <c r="Q33" s="292">
        <v>67879.5</v>
      </c>
      <c r="R33" s="292">
        <v>69545.7</v>
      </c>
      <c r="S33" s="292">
        <v>70902.399999999994</v>
      </c>
      <c r="T33" s="292">
        <v>72474.899999999994</v>
      </c>
      <c r="U33" s="292">
        <v>74774.5</v>
      </c>
      <c r="V33" s="292">
        <v>1</v>
      </c>
      <c r="W33" s="233">
        <f t="shared" si="12"/>
        <v>1653.5</v>
      </c>
      <c r="X33" s="233">
        <f t="shared" si="13"/>
        <v>1576.1000000000058</v>
      </c>
      <c r="Y33" s="233">
        <f t="shared" si="17"/>
        <v>1617.7999999999956</v>
      </c>
      <c r="Z33" s="233">
        <f t="shared" si="18"/>
        <v>1549.6000000000058</v>
      </c>
      <c r="AA33" s="233">
        <f t="shared" si="15"/>
        <v>1666.1999999999971</v>
      </c>
      <c r="AB33" s="233">
        <f t="shared" si="16"/>
        <v>1356.6999999999971</v>
      </c>
      <c r="AC33" s="309">
        <f t="shared" si="11"/>
        <v>1572.5</v>
      </c>
      <c r="AD33" s="309">
        <f t="shared" si="8"/>
        <v>2299.6000000000058</v>
      </c>
      <c r="AE33" s="323">
        <f>AE32</f>
        <v>11.974956000000001</v>
      </c>
      <c r="AF33" s="316">
        <f t="shared" si="9"/>
        <v>27537.60881760007</v>
      </c>
    </row>
    <row r="34" spans="1:34" ht="14.45" customHeight="1" thickBot="1" x14ac:dyDescent="0.25">
      <c r="A34" s="182" t="s">
        <v>19</v>
      </c>
      <c r="B34" s="229">
        <v>15</v>
      </c>
      <c r="C34" s="230" t="s">
        <v>103</v>
      </c>
      <c r="D34" s="231" t="s">
        <v>80</v>
      </c>
      <c r="E34" s="231" t="s">
        <v>23</v>
      </c>
      <c r="F34" s="232" t="s">
        <v>81</v>
      </c>
      <c r="G34" s="235">
        <v>3</v>
      </c>
      <c r="H34" s="231" t="s">
        <v>82</v>
      </c>
      <c r="I34" s="289">
        <v>44986</v>
      </c>
      <c r="J34" s="290" t="s">
        <v>112</v>
      </c>
      <c r="K34" s="291"/>
      <c r="L34" s="292">
        <v>53920</v>
      </c>
      <c r="M34" s="292">
        <v>53952</v>
      </c>
      <c r="N34" s="292">
        <v>54720.4</v>
      </c>
      <c r="O34" s="292">
        <v>55532.4</v>
      </c>
      <c r="P34" s="292">
        <v>56314.5</v>
      </c>
      <c r="Q34" s="292">
        <v>57081.7</v>
      </c>
      <c r="R34" s="292">
        <v>57935</v>
      </c>
      <c r="S34" s="292">
        <v>58458</v>
      </c>
      <c r="T34" s="292">
        <v>59028.6</v>
      </c>
      <c r="U34" s="292">
        <v>59545.599999999999</v>
      </c>
      <c r="V34" s="292">
        <v>1</v>
      </c>
      <c r="W34" s="233">
        <f t="shared" si="12"/>
        <v>32</v>
      </c>
      <c r="X34" s="233">
        <f t="shared" si="13"/>
        <v>768.40000000000146</v>
      </c>
      <c r="Y34" s="233">
        <f t="shared" si="17"/>
        <v>782.09999999999854</v>
      </c>
      <c r="Z34" s="233">
        <f t="shared" si="18"/>
        <v>767.19999999999709</v>
      </c>
      <c r="AA34" s="233">
        <f t="shared" si="15"/>
        <v>853.30000000000291</v>
      </c>
      <c r="AB34" s="233">
        <f t="shared" si="16"/>
        <v>523</v>
      </c>
      <c r="AC34" s="309">
        <f t="shared" si="11"/>
        <v>570.59999999999854</v>
      </c>
      <c r="AD34" s="309">
        <f t="shared" si="8"/>
        <v>517</v>
      </c>
      <c r="AE34" s="323">
        <f>AE32</f>
        <v>11.974956000000001</v>
      </c>
      <c r="AF34" s="316">
        <f t="shared" si="9"/>
        <v>6191.0522520000004</v>
      </c>
    </row>
    <row r="35" spans="1:34" ht="14.45" customHeight="1" thickBot="1" x14ac:dyDescent="0.25">
      <c r="A35" s="182" t="s">
        <v>19</v>
      </c>
      <c r="B35" s="229">
        <v>15</v>
      </c>
      <c r="C35" s="230" t="s">
        <v>103</v>
      </c>
      <c r="D35" s="234" t="s">
        <v>113</v>
      </c>
      <c r="E35" s="234" t="s">
        <v>23</v>
      </c>
      <c r="F35" s="249" t="s">
        <v>114</v>
      </c>
      <c r="G35" s="235">
        <v>3</v>
      </c>
      <c r="H35" s="231" t="s">
        <v>82</v>
      </c>
      <c r="I35" s="289">
        <v>45231</v>
      </c>
      <c r="J35" s="302" t="s">
        <v>115</v>
      </c>
      <c r="K35" s="303"/>
      <c r="L35" s="292">
        <v>25688.46</v>
      </c>
      <c r="M35" s="292">
        <v>27199.040000000001</v>
      </c>
      <c r="N35" s="292">
        <v>28620.33</v>
      </c>
      <c r="O35" s="292">
        <v>30197.49</v>
      </c>
      <c r="P35" s="292">
        <v>31708.06</v>
      </c>
      <c r="Q35" s="292">
        <v>33188.43</v>
      </c>
      <c r="R35" s="292">
        <v>34848.639999999999</v>
      </c>
      <c r="S35" s="292">
        <v>36078.44</v>
      </c>
      <c r="T35" s="292">
        <v>37493.99</v>
      </c>
      <c r="U35" s="292">
        <v>38672.720000000001</v>
      </c>
      <c r="V35" s="292">
        <v>1</v>
      </c>
      <c r="W35" s="233">
        <f t="shared" si="12"/>
        <v>1510.5800000000017</v>
      </c>
      <c r="X35" s="233">
        <f t="shared" si="13"/>
        <v>1421.2900000000009</v>
      </c>
      <c r="Y35" s="233">
        <f t="shared" si="17"/>
        <v>1510.5699999999997</v>
      </c>
      <c r="Z35" s="233">
        <f t="shared" si="18"/>
        <v>1480.369999999999</v>
      </c>
      <c r="AA35" s="233">
        <f t="shared" si="15"/>
        <v>1660.2099999999991</v>
      </c>
      <c r="AB35" s="233">
        <f t="shared" si="16"/>
        <v>1229.8000000000029</v>
      </c>
      <c r="AC35" s="309">
        <f t="shared" si="11"/>
        <v>1415.5499999999956</v>
      </c>
      <c r="AD35" s="309">
        <f t="shared" si="8"/>
        <v>1178.7300000000032</v>
      </c>
      <c r="AE35" s="323">
        <f>AE32</f>
        <v>11.974956000000001</v>
      </c>
      <c r="AF35" s="316">
        <f t="shared" si="9"/>
        <v>14115.239885880039</v>
      </c>
    </row>
    <row r="36" spans="1:34" ht="14.45" customHeight="1" thickBot="1" x14ac:dyDescent="0.25">
      <c r="A36" s="182" t="s">
        <v>19</v>
      </c>
      <c r="B36" s="229">
        <v>15</v>
      </c>
      <c r="C36" s="230" t="s">
        <v>103</v>
      </c>
      <c r="D36" s="421" t="s">
        <v>116</v>
      </c>
      <c r="E36" s="234" t="s">
        <v>23</v>
      </c>
      <c r="F36" s="249" t="s">
        <v>117</v>
      </c>
      <c r="G36" s="423">
        <v>8</v>
      </c>
      <c r="H36" s="414" t="s">
        <v>118</v>
      </c>
      <c r="I36" s="289">
        <v>45371</v>
      </c>
      <c r="J36" s="302" t="s">
        <v>119</v>
      </c>
      <c r="K36" s="303"/>
      <c r="L36" s="292">
        <v>3699.9</v>
      </c>
      <c r="M36" s="292">
        <v>3882.6</v>
      </c>
      <c r="N36" s="292">
        <v>4071.4</v>
      </c>
      <c r="O36" s="292">
        <v>4291.3999999999996</v>
      </c>
      <c r="P36" s="292">
        <v>4491.2</v>
      </c>
      <c r="Q36" s="292">
        <v>4686.8999999999996</v>
      </c>
      <c r="R36" s="292">
        <v>4949.5</v>
      </c>
      <c r="S36" s="292">
        <v>5285.7</v>
      </c>
      <c r="T36" s="292">
        <v>5904.1</v>
      </c>
      <c r="U36" s="292">
        <v>6608.6</v>
      </c>
      <c r="V36" s="292">
        <v>1</v>
      </c>
      <c r="W36" s="233">
        <f t="shared" si="12"/>
        <v>182.69999999999982</v>
      </c>
      <c r="X36" s="233">
        <f t="shared" si="13"/>
        <v>188.80000000000018</v>
      </c>
      <c r="Y36" s="233">
        <f t="shared" si="17"/>
        <v>199.80000000000018</v>
      </c>
      <c r="Z36" s="233">
        <f t="shared" si="18"/>
        <v>195.69999999999982</v>
      </c>
      <c r="AA36" s="233">
        <f t="shared" si="15"/>
        <v>262.60000000000036</v>
      </c>
      <c r="AB36" s="233">
        <f t="shared" si="16"/>
        <v>336.19999999999982</v>
      </c>
      <c r="AC36" s="309">
        <f t="shared" si="11"/>
        <v>618.40000000000055</v>
      </c>
      <c r="AD36" s="309">
        <f t="shared" si="8"/>
        <v>704.5</v>
      </c>
      <c r="AE36" s="323">
        <f>AE32</f>
        <v>11.974956000000001</v>
      </c>
      <c r="AF36" s="316">
        <f t="shared" si="9"/>
        <v>8436.3565020000005</v>
      </c>
    </row>
    <row r="37" spans="1:34" ht="14.45" customHeight="1" thickBot="1" x14ac:dyDescent="0.25">
      <c r="A37" s="182" t="s">
        <v>19</v>
      </c>
      <c r="B37" s="229">
        <v>15</v>
      </c>
      <c r="C37" s="230" t="s">
        <v>103</v>
      </c>
      <c r="D37" s="421"/>
      <c r="E37" s="234" t="s">
        <v>26</v>
      </c>
      <c r="F37" s="249"/>
      <c r="G37" s="423"/>
      <c r="H37" s="414"/>
      <c r="I37" s="289"/>
      <c r="J37" s="302"/>
      <c r="K37" s="303"/>
      <c r="L37" s="292">
        <v>608.1</v>
      </c>
      <c r="M37" s="292">
        <v>672.02</v>
      </c>
      <c r="N37" s="292">
        <v>742.88</v>
      </c>
      <c r="O37" s="292">
        <v>826.7</v>
      </c>
      <c r="P37" s="292">
        <v>897.38</v>
      </c>
      <c r="Q37" s="292">
        <v>971.68</v>
      </c>
      <c r="R37" s="292">
        <v>1058.75</v>
      </c>
      <c r="S37" s="292">
        <v>1134.44</v>
      </c>
      <c r="T37" s="292">
        <v>1228.98</v>
      </c>
      <c r="U37" s="292">
        <v>1314.13</v>
      </c>
      <c r="V37" s="292">
        <v>1</v>
      </c>
      <c r="W37" s="233">
        <f t="shared" si="12"/>
        <v>63.919999999999959</v>
      </c>
      <c r="X37" s="233">
        <f t="shared" si="13"/>
        <v>70.860000000000014</v>
      </c>
      <c r="Y37" s="233">
        <f t="shared" si="17"/>
        <v>70.67999999999995</v>
      </c>
      <c r="Z37" s="233">
        <f t="shared" si="18"/>
        <v>74.299999999999955</v>
      </c>
      <c r="AA37" s="233">
        <f t="shared" si="15"/>
        <v>87.07000000000005</v>
      </c>
      <c r="AB37" s="233">
        <f t="shared" si="16"/>
        <v>75.690000000000055</v>
      </c>
      <c r="AC37" s="309">
        <f t="shared" si="11"/>
        <v>94.539999999999964</v>
      </c>
      <c r="AD37" s="309">
        <f t="shared" si="8"/>
        <v>85.150000000000091</v>
      </c>
      <c r="AE37" s="323">
        <f>AE31</f>
        <v>54.89</v>
      </c>
      <c r="AF37" s="316">
        <f t="shared" si="9"/>
        <v>4673.8835000000054</v>
      </c>
    </row>
    <row r="38" spans="1:34" ht="15" customHeight="1" thickBot="1" x14ac:dyDescent="0.25">
      <c r="A38" s="182" t="s">
        <v>19</v>
      </c>
      <c r="B38" s="213">
        <v>15</v>
      </c>
      <c r="C38" s="214" t="s">
        <v>103</v>
      </c>
      <c r="D38" s="250" t="s">
        <v>120</v>
      </c>
      <c r="E38" s="247" t="s">
        <v>23</v>
      </c>
      <c r="F38" s="221" t="s">
        <v>121</v>
      </c>
      <c r="G38" s="217">
        <v>1</v>
      </c>
      <c r="H38" s="215" t="s">
        <v>41</v>
      </c>
      <c r="I38" s="278">
        <v>45474</v>
      </c>
      <c r="J38" s="304" t="s">
        <v>122</v>
      </c>
      <c r="K38" s="283"/>
      <c r="L38" s="281"/>
      <c r="M38" s="281">
        <v>1.5</v>
      </c>
      <c r="N38" s="281">
        <v>1.5</v>
      </c>
      <c r="O38" s="281">
        <v>5.4</v>
      </c>
      <c r="P38" s="281">
        <v>69.5</v>
      </c>
      <c r="Q38" s="281">
        <v>132.9</v>
      </c>
      <c r="R38" s="281">
        <v>182.3</v>
      </c>
      <c r="S38" s="281">
        <v>182.3</v>
      </c>
      <c r="T38" s="281">
        <v>240.7</v>
      </c>
      <c r="U38" s="281">
        <v>285.89999999999998</v>
      </c>
      <c r="V38" s="281">
        <v>1</v>
      </c>
      <c r="W38" s="236">
        <f t="shared" si="12"/>
        <v>1.5</v>
      </c>
      <c r="X38" s="236">
        <f t="shared" si="13"/>
        <v>0</v>
      </c>
      <c r="Y38" s="236">
        <f t="shared" si="17"/>
        <v>64.099999999999994</v>
      </c>
      <c r="Z38" s="236">
        <f t="shared" si="18"/>
        <v>63.400000000000006</v>
      </c>
      <c r="AA38" s="236">
        <f t="shared" si="15"/>
        <v>49.400000000000006</v>
      </c>
      <c r="AB38" s="236">
        <f t="shared" si="16"/>
        <v>0</v>
      </c>
      <c r="AC38" s="309">
        <f t="shared" si="11"/>
        <v>58.399999999999977</v>
      </c>
      <c r="AD38" s="309">
        <f t="shared" si="8"/>
        <v>45.199999999999989</v>
      </c>
      <c r="AE38" s="320">
        <f>AE34</f>
        <v>11.974956000000001</v>
      </c>
      <c r="AF38" s="316">
        <f t="shared" si="9"/>
        <v>541.26801119999993</v>
      </c>
    </row>
    <row r="39" spans="1:34" ht="13.5" thickBot="1" x14ac:dyDescent="0.25">
      <c r="A39" s="251" t="s">
        <v>52</v>
      </c>
      <c r="B39" s="223" t="s">
        <v>123</v>
      </c>
      <c r="C39" s="224" t="s">
        <v>124</v>
      </c>
      <c r="D39" s="252" t="s">
        <v>125</v>
      </c>
      <c r="E39" s="252" t="s">
        <v>23</v>
      </c>
      <c r="F39" s="226" t="s">
        <v>126</v>
      </c>
      <c r="G39" s="227">
        <v>1</v>
      </c>
      <c r="H39" s="228" t="s">
        <v>41</v>
      </c>
      <c r="I39" s="285">
        <v>45336</v>
      </c>
      <c r="J39" s="286" t="s">
        <v>127</v>
      </c>
      <c r="K39" s="287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>
        <v>1</v>
      </c>
      <c r="W39" s="312">
        <f t="shared" si="12"/>
        <v>0</v>
      </c>
      <c r="X39" s="312">
        <f t="shared" si="13"/>
        <v>0</v>
      </c>
      <c r="Y39" s="312">
        <f t="shared" si="17"/>
        <v>0</v>
      </c>
      <c r="Z39" s="312">
        <f t="shared" si="18"/>
        <v>0</v>
      </c>
      <c r="AA39" s="312">
        <f t="shared" si="15"/>
        <v>0</v>
      </c>
      <c r="AB39" s="312">
        <f t="shared" si="16"/>
        <v>0</v>
      </c>
      <c r="AC39" s="309">
        <f t="shared" si="11"/>
        <v>0</v>
      </c>
      <c r="AD39" s="309">
        <f t="shared" si="8"/>
        <v>0</v>
      </c>
      <c r="AE39" s="325" t="s">
        <v>43</v>
      </c>
      <c r="AF39" s="316"/>
    </row>
    <row r="40" spans="1:34" ht="13.5" thickBot="1" x14ac:dyDescent="0.25">
      <c r="A40" s="182" t="s">
        <v>19</v>
      </c>
      <c r="B40" s="209">
        <v>18</v>
      </c>
      <c r="C40" s="210" t="s">
        <v>128</v>
      </c>
      <c r="D40" s="196" t="s">
        <v>100</v>
      </c>
      <c r="E40" s="196" t="s">
        <v>26</v>
      </c>
      <c r="F40" s="211" t="s">
        <v>101</v>
      </c>
      <c r="G40" s="212">
        <v>1</v>
      </c>
      <c r="H40" s="197" t="s">
        <v>30</v>
      </c>
      <c r="I40" s="265">
        <v>45627</v>
      </c>
      <c r="J40" s="277" t="s">
        <v>102</v>
      </c>
      <c r="K40" s="267"/>
      <c r="L40" s="268">
        <v>1014.5</v>
      </c>
      <c r="M40" s="268">
        <v>1020.45</v>
      </c>
      <c r="N40" s="268">
        <v>1024.81</v>
      </c>
      <c r="O40" s="268">
        <v>1029.6300000000001</v>
      </c>
      <c r="P40" s="268">
        <v>1034.93</v>
      </c>
      <c r="Q40" s="268">
        <v>1039.1099999999999</v>
      </c>
      <c r="R40" s="268">
        <v>1041.78</v>
      </c>
      <c r="S40" s="268">
        <v>1044.19</v>
      </c>
      <c r="T40" s="268">
        <v>1046.24</v>
      </c>
      <c r="U40" s="268">
        <v>1048.25</v>
      </c>
      <c r="V40" s="268">
        <v>1</v>
      </c>
      <c r="W40" s="309">
        <f t="shared" si="12"/>
        <v>5.9500000000000455</v>
      </c>
      <c r="X40" s="309">
        <f t="shared" si="13"/>
        <v>4.3599999999999</v>
      </c>
      <c r="Y40" s="309">
        <f t="shared" si="17"/>
        <v>5.2999999999999545</v>
      </c>
      <c r="Z40" s="309">
        <f t="shared" si="18"/>
        <v>4.1799999999998363</v>
      </c>
      <c r="AA40" s="309">
        <f t="shared" si="15"/>
        <v>2.6700000000000728</v>
      </c>
      <c r="AB40" s="309">
        <f t="shared" si="16"/>
        <v>2.4100000000000819</v>
      </c>
      <c r="AC40" s="309">
        <f t="shared" si="11"/>
        <v>2.0499999999999545</v>
      </c>
      <c r="AD40" s="309">
        <f t="shared" si="8"/>
        <v>2.0099999999999909</v>
      </c>
      <c r="AE40" s="315">
        <v>52.9791666666667</v>
      </c>
      <c r="AF40" s="316">
        <f t="shared" si="9"/>
        <v>106.48812499999958</v>
      </c>
    </row>
    <row r="41" spans="1:34" ht="13.5" thickBot="1" x14ac:dyDescent="0.25">
      <c r="A41" s="182" t="s">
        <v>19</v>
      </c>
      <c r="B41" s="213">
        <v>18</v>
      </c>
      <c r="C41" s="214" t="s">
        <v>128</v>
      </c>
      <c r="D41" s="215" t="s">
        <v>129</v>
      </c>
      <c r="E41" s="215" t="s">
        <v>23</v>
      </c>
      <c r="F41" s="218">
        <v>2912901337</v>
      </c>
      <c r="G41" s="217">
        <v>1</v>
      </c>
      <c r="H41" s="218" t="s">
        <v>41</v>
      </c>
      <c r="I41" s="278">
        <v>45775</v>
      </c>
      <c r="J41" s="279" t="s">
        <v>130</v>
      </c>
      <c r="K41" s="280"/>
      <c r="L41" s="281">
        <v>182</v>
      </c>
      <c r="M41" s="281">
        <v>288.60000000000002</v>
      </c>
      <c r="N41" s="281">
        <v>398</v>
      </c>
      <c r="O41" s="281">
        <v>534</v>
      </c>
      <c r="P41" s="281">
        <v>661.6</v>
      </c>
      <c r="Q41" s="281">
        <v>778.8</v>
      </c>
      <c r="R41" s="281">
        <v>893.5</v>
      </c>
      <c r="S41" s="281">
        <v>991.7</v>
      </c>
      <c r="T41" s="281">
        <v>1090.3</v>
      </c>
      <c r="U41" s="281">
        <v>1090.3</v>
      </c>
      <c r="V41" s="281">
        <v>1</v>
      </c>
      <c r="W41" s="236">
        <f t="shared" si="12"/>
        <v>106.60000000000002</v>
      </c>
      <c r="X41" s="236">
        <f t="shared" si="13"/>
        <v>109.39999999999998</v>
      </c>
      <c r="Y41" s="236">
        <f t="shared" si="17"/>
        <v>127.60000000000002</v>
      </c>
      <c r="Z41" s="236">
        <f t="shared" si="18"/>
        <v>117.19999999999993</v>
      </c>
      <c r="AA41" s="236">
        <f t="shared" si="15"/>
        <v>114.70000000000005</v>
      </c>
      <c r="AB41" s="236">
        <f t="shared" si="16"/>
        <v>98.200000000000045</v>
      </c>
      <c r="AC41" s="309">
        <f t="shared" si="11"/>
        <v>98.599999999999909</v>
      </c>
      <c r="AD41" s="309">
        <f t="shared" si="8"/>
        <v>0</v>
      </c>
      <c r="AE41" s="320">
        <v>12.779567999999999</v>
      </c>
      <c r="AF41" s="316">
        <f t="shared" si="9"/>
        <v>0</v>
      </c>
      <c r="AH41" s="188">
        <f>1.2*10.64964</f>
        <v>12.779567999999999</v>
      </c>
    </row>
    <row r="42" spans="1:34" ht="13.5" thickBot="1" x14ac:dyDescent="0.25">
      <c r="A42" s="182" t="s">
        <v>19</v>
      </c>
      <c r="B42" s="248">
        <v>20</v>
      </c>
      <c r="C42" s="224" t="s">
        <v>131</v>
      </c>
      <c r="D42" s="225" t="s">
        <v>89</v>
      </c>
      <c r="E42" s="225" t="s">
        <v>26</v>
      </c>
      <c r="F42" s="226" t="s">
        <v>90</v>
      </c>
      <c r="G42" s="227">
        <v>1</v>
      </c>
      <c r="H42" s="228" t="s">
        <v>30</v>
      </c>
      <c r="I42" s="285">
        <v>45627</v>
      </c>
      <c r="J42" s="286" t="s">
        <v>132</v>
      </c>
      <c r="K42" s="287"/>
      <c r="L42" s="288">
        <v>1327</v>
      </c>
      <c r="M42" s="288">
        <v>1343</v>
      </c>
      <c r="N42" s="288">
        <v>1357</v>
      </c>
      <c r="O42" s="288">
        <v>1368</v>
      </c>
      <c r="P42" s="288">
        <v>1381</v>
      </c>
      <c r="Q42" s="288">
        <v>1399</v>
      </c>
      <c r="R42" s="288">
        <v>1423</v>
      </c>
      <c r="S42" s="288">
        <v>1448</v>
      </c>
      <c r="T42" s="288">
        <v>1475</v>
      </c>
      <c r="U42" s="288">
        <v>1499</v>
      </c>
      <c r="V42" s="288">
        <v>1</v>
      </c>
      <c r="W42" s="312">
        <f t="shared" si="12"/>
        <v>16</v>
      </c>
      <c r="X42" s="312">
        <f t="shared" si="13"/>
        <v>14</v>
      </c>
      <c r="Y42" s="312">
        <f t="shared" si="17"/>
        <v>13</v>
      </c>
      <c r="Z42" s="312">
        <f t="shared" si="18"/>
        <v>18</v>
      </c>
      <c r="AA42" s="312">
        <f t="shared" si="15"/>
        <v>24</v>
      </c>
      <c r="AB42" s="312">
        <f t="shared" si="16"/>
        <v>25</v>
      </c>
      <c r="AC42" s="309">
        <f t="shared" si="11"/>
        <v>27</v>
      </c>
      <c r="AD42" s="309">
        <f t="shared" si="8"/>
        <v>24</v>
      </c>
      <c r="AE42" s="322">
        <v>56.47</v>
      </c>
      <c r="AF42" s="316">
        <f t="shared" si="9"/>
        <v>1355.28</v>
      </c>
    </row>
    <row r="43" spans="1:34" ht="13.5" thickBot="1" x14ac:dyDescent="0.25">
      <c r="A43" s="182" t="s">
        <v>19</v>
      </c>
      <c r="B43" s="209">
        <v>21</v>
      </c>
      <c r="C43" s="197" t="s">
        <v>133</v>
      </c>
      <c r="D43" s="196" t="s">
        <v>28</v>
      </c>
      <c r="E43" s="196" t="s">
        <v>26</v>
      </c>
      <c r="F43" s="211" t="s">
        <v>29</v>
      </c>
      <c r="G43" s="212">
        <v>1</v>
      </c>
      <c r="H43" s="197" t="s">
        <v>30</v>
      </c>
      <c r="I43" s="265">
        <v>45689</v>
      </c>
      <c r="J43" s="277" t="s">
        <v>31</v>
      </c>
      <c r="K43" s="267"/>
      <c r="L43" s="268">
        <v>3957.15</v>
      </c>
      <c r="M43" s="268">
        <v>4014.32</v>
      </c>
      <c r="N43" s="268">
        <v>4047.81</v>
      </c>
      <c r="O43" s="268">
        <v>4087.41</v>
      </c>
      <c r="P43" s="268">
        <v>4137.2700000000004</v>
      </c>
      <c r="Q43" s="268">
        <v>4181.6400000000003</v>
      </c>
      <c r="R43" s="268">
        <v>4227</v>
      </c>
      <c r="S43" s="268">
        <v>4273.41</v>
      </c>
      <c r="T43" s="268">
        <v>4311.72</v>
      </c>
      <c r="U43" s="268">
        <v>4348.63</v>
      </c>
      <c r="V43" s="268">
        <v>1</v>
      </c>
      <c r="W43" s="309">
        <f t="shared" si="12"/>
        <v>57.170000000000073</v>
      </c>
      <c r="X43" s="309">
        <f t="shared" si="13"/>
        <v>33.489999999999782</v>
      </c>
      <c r="Y43" s="309">
        <f t="shared" si="17"/>
        <v>49.860000000000582</v>
      </c>
      <c r="Z43" s="309">
        <f t="shared" si="18"/>
        <v>44.369999999999891</v>
      </c>
      <c r="AA43" s="309">
        <f t="shared" si="15"/>
        <v>45.359999999999673</v>
      </c>
      <c r="AB43" s="309">
        <f t="shared" si="16"/>
        <v>46.409999999999854</v>
      </c>
      <c r="AC43" s="309">
        <f t="shared" si="11"/>
        <v>38.3100000000004</v>
      </c>
      <c r="AD43" s="309">
        <f t="shared" si="8"/>
        <v>36.909999999999854</v>
      </c>
      <c r="AE43" s="315">
        <v>67.28</v>
      </c>
      <c r="AF43" s="316">
        <f t="shared" si="9"/>
        <v>2483.3047999999903</v>
      </c>
    </row>
    <row r="44" spans="1:34" ht="13.5" thickBot="1" x14ac:dyDescent="0.25">
      <c r="A44" s="182" t="s">
        <v>19</v>
      </c>
      <c r="B44" s="229">
        <v>21</v>
      </c>
      <c r="C44" s="230" t="s">
        <v>133</v>
      </c>
      <c r="D44" s="253" t="s">
        <v>134</v>
      </c>
      <c r="E44" s="253" t="s">
        <v>26</v>
      </c>
      <c r="F44" s="232" t="s">
        <v>135</v>
      </c>
      <c r="G44" s="235">
        <v>1</v>
      </c>
      <c r="H44" s="231" t="s">
        <v>41</v>
      </c>
      <c r="I44" s="289">
        <v>45778</v>
      </c>
      <c r="J44" s="290" t="s">
        <v>136</v>
      </c>
      <c r="K44" s="291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>
        <v>1</v>
      </c>
      <c r="W44" s="233">
        <f t="shared" si="12"/>
        <v>0</v>
      </c>
      <c r="X44" s="233">
        <f t="shared" si="13"/>
        <v>0</v>
      </c>
      <c r="Y44" s="233">
        <f t="shared" si="17"/>
        <v>0</v>
      </c>
      <c r="Z44" s="233">
        <f t="shared" si="18"/>
        <v>0</v>
      </c>
      <c r="AA44" s="233">
        <f t="shared" si="15"/>
        <v>0</v>
      </c>
      <c r="AB44" s="233">
        <f t="shared" si="16"/>
        <v>0</v>
      </c>
      <c r="AC44" s="309">
        <f t="shared" si="11"/>
        <v>0</v>
      </c>
      <c r="AD44" s="309">
        <f t="shared" si="8"/>
        <v>0</v>
      </c>
      <c r="AE44" s="326" t="s">
        <v>43</v>
      </c>
      <c r="AF44" s="316"/>
    </row>
    <row r="45" spans="1:34" ht="13.5" thickBot="1" x14ac:dyDescent="0.25">
      <c r="A45" s="182" t="s">
        <v>19</v>
      </c>
      <c r="B45" s="213">
        <v>21</v>
      </c>
      <c r="C45" s="214" t="s">
        <v>133</v>
      </c>
      <c r="D45" s="218" t="s">
        <v>137</v>
      </c>
      <c r="E45" s="218" t="s">
        <v>23</v>
      </c>
      <c r="F45" s="221" t="s">
        <v>138</v>
      </c>
      <c r="G45" s="217">
        <v>3</v>
      </c>
      <c r="H45" s="218" t="s">
        <v>139</v>
      </c>
      <c r="I45" s="305">
        <v>45784</v>
      </c>
      <c r="J45" s="282" t="s">
        <v>140</v>
      </c>
      <c r="K45" s="283"/>
      <c r="L45" s="281">
        <v>11992</v>
      </c>
      <c r="M45" s="281">
        <v>11992</v>
      </c>
      <c r="N45" s="281">
        <v>12271.6</v>
      </c>
      <c r="O45" s="281">
        <v>12667.6</v>
      </c>
      <c r="P45" s="281">
        <v>12968</v>
      </c>
      <c r="Q45" s="281">
        <v>13217.1</v>
      </c>
      <c r="R45" s="281">
        <v>13628</v>
      </c>
      <c r="S45" s="281">
        <v>13953</v>
      </c>
      <c r="T45" s="281">
        <v>14159.6</v>
      </c>
      <c r="U45" s="281">
        <v>14285.9</v>
      </c>
      <c r="V45" s="281">
        <v>1</v>
      </c>
      <c r="W45" s="236">
        <f t="shared" si="12"/>
        <v>0</v>
      </c>
      <c r="X45" s="236">
        <f t="shared" si="13"/>
        <v>279.60000000000036</v>
      </c>
      <c r="Y45" s="236">
        <f t="shared" si="17"/>
        <v>300.39999999999964</v>
      </c>
      <c r="Z45" s="236">
        <f t="shared" si="18"/>
        <v>249.10000000000036</v>
      </c>
      <c r="AA45" s="236">
        <f t="shared" si="15"/>
        <v>410.89999999999964</v>
      </c>
      <c r="AB45" s="236">
        <f t="shared" si="16"/>
        <v>325</v>
      </c>
      <c r="AC45" s="309">
        <f t="shared" si="11"/>
        <v>206.60000000000036</v>
      </c>
      <c r="AD45" s="309">
        <f t="shared" si="8"/>
        <v>126.29999999999927</v>
      </c>
      <c r="AE45" s="320">
        <v>11.781108</v>
      </c>
      <c r="AF45" s="316">
        <f t="shared" si="9"/>
        <v>1487.9539403999913</v>
      </c>
      <c r="AH45" s="188">
        <f>1.2*9.81759</f>
        <v>11.781107999999998</v>
      </c>
    </row>
    <row r="46" spans="1:34" ht="13.5" thickBot="1" x14ac:dyDescent="0.25">
      <c r="A46" s="182" t="s">
        <v>19</v>
      </c>
      <c r="B46" s="248">
        <v>22</v>
      </c>
      <c r="C46" s="228" t="s">
        <v>141</v>
      </c>
      <c r="D46" s="225" t="s">
        <v>28</v>
      </c>
      <c r="E46" s="225" t="s">
        <v>26</v>
      </c>
      <c r="F46" s="226" t="s">
        <v>29</v>
      </c>
      <c r="G46" s="227">
        <v>1</v>
      </c>
      <c r="H46" s="228" t="s">
        <v>30</v>
      </c>
      <c r="I46" s="285">
        <v>45689</v>
      </c>
      <c r="J46" s="286" t="s">
        <v>31</v>
      </c>
      <c r="K46" s="287"/>
      <c r="L46" s="288">
        <v>988</v>
      </c>
      <c r="M46" s="288">
        <v>997</v>
      </c>
      <c r="N46" s="288">
        <v>1003</v>
      </c>
      <c r="O46" s="288">
        <v>1010</v>
      </c>
      <c r="P46" s="288">
        <v>1015</v>
      </c>
      <c r="Q46" s="288">
        <v>1021</v>
      </c>
      <c r="R46" s="288">
        <v>1028</v>
      </c>
      <c r="S46" s="288">
        <v>1034</v>
      </c>
      <c r="T46" s="288">
        <v>1040</v>
      </c>
      <c r="U46" s="288">
        <v>1046</v>
      </c>
      <c r="V46" s="288">
        <v>1</v>
      </c>
      <c r="W46" s="312">
        <f t="shared" si="12"/>
        <v>9</v>
      </c>
      <c r="X46" s="312">
        <f t="shared" si="13"/>
        <v>6</v>
      </c>
      <c r="Y46" s="312">
        <f t="shared" si="17"/>
        <v>5</v>
      </c>
      <c r="Z46" s="312">
        <f t="shared" si="18"/>
        <v>6</v>
      </c>
      <c r="AA46" s="312">
        <f t="shared" si="15"/>
        <v>7</v>
      </c>
      <c r="AB46" s="312">
        <f t="shared" si="16"/>
        <v>6</v>
      </c>
      <c r="AC46" s="309">
        <f t="shared" si="11"/>
        <v>6</v>
      </c>
      <c r="AD46" s="309">
        <f t="shared" si="8"/>
        <v>6</v>
      </c>
      <c r="AE46" s="322">
        <v>56.47</v>
      </c>
      <c r="AF46" s="316">
        <f t="shared" si="9"/>
        <v>338.82</v>
      </c>
    </row>
    <row r="47" spans="1:34" ht="13.5" thickBot="1" x14ac:dyDescent="0.25">
      <c r="A47" s="182" t="s">
        <v>19</v>
      </c>
      <c r="B47" s="209">
        <v>23</v>
      </c>
      <c r="C47" s="210" t="s">
        <v>142</v>
      </c>
      <c r="D47" s="222" t="s">
        <v>28</v>
      </c>
      <c r="E47" s="222" t="s">
        <v>26</v>
      </c>
      <c r="F47" s="211" t="s">
        <v>29</v>
      </c>
      <c r="G47" s="212">
        <v>1</v>
      </c>
      <c r="H47" s="197" t="s">
        <v>30</v>
      </c>
      <c r="I47" s="265">
        <v>45717</v>
      </c>
      <c r="J47" s="277" t="s">
        <v>31</v>
      </c>
      <c r="K47" s="267"/>
      <c r="L47" s="268">
        <v>36.54</v>
      </c>
      <c r="M47" s="268">
        <v>52.56</v>
      </c>
      <c r="N47" s="268">
        <v>67.05</v>
      </c>
      <c r="O47" s="268">
        <v>80.73</v>
      </c>
      <c r="P47" s="268">
        <v>94.89</v>
      </c>
      <c r="Q47" s="268">
        <v>111.46</v>
      </c>
      <c r="R47" s="268">
        <v>133.29</v>
      </c>
      <c r="S47" s="268">
        <v>160.68</v>
      </c>
      <c r="T47" s="268">
        <v>189.54</v>
      </c>
      <c r="U47" s="268">
        <v>218.59</v>
      </c>
      <c r="V47" s="268">
        <v>1</v>
      </c>
      <c r="W47" s="309">
        <f t="shared" si="12"/>
        <v>16.020000000000003</v>
      </c>
      <c r="X47" s="309">
        <f t="shared" si="13"/>
        <v>14.489999999999995</v>
      </c>
      <c r="Y47" s="309">
        <f t="shared" si="17"/>
        <v>14.159999999999997</v>
      </c>
      <c r="Z47" s="309">
        <f t="shared" si="18"/>
        <v>16.569999999999993</v>
      </c>
      <c r="AA47" s="309">
        <f t="shared" si="15"/>
        <v>21.83</v>
      </c>
      <c r="AB47" s="309">
        <f t="shared" si="16"/>
        <v>27.390000000000015</v>
      </c>
      <c r="AC47" s="309">
        <f t="shared" si="11"/>
        <v>28.859999999999985</v>
      </c>
      <c r="AD47" s="309">
        <f t="shared" si="8"/>
        <v>29.050000000000011</v>
      </c>
      <c r="AE47" s="315">
        <v>49.980008470986903</v>
      </c>
      <c r="AF47" s="316">
        <f t="shared" si="9"/>
        <v>1451.91924608217</v>
      </c>
      <c r="AH47" s="188">
        <f>1.2*41.65</f>
        <v>49.98</v>
      </c>
    </row>
    <row r="48" spans="1:34" ht="14.45" customHeight="1" thickBot="1" x14ac:dyDescent="0.25">
      <c r="A48" s="182" t="s">
        <v>19</v>
      </c>
      <c r="B48" s="229">
        <v>23</v>
      </c>
      <c r="C48" s="230" t="s">
        <v>142</v>
      </c>
      <c r="D48" s="254" t="s">
        <v>143</v>
      </c>
      <c r="E48" s="254" t="s">
        <v>23</v>
      </c>
      <c r="F48" s="255" t="s">
        <v>144</v>
      </c>
      <c r="G48" s="256">
        <v>2</v>
      </c>
      <c r="H48" s="254" t="s">
        <v>41</v>
      </c>
      <c r="I48" s="306">
        <v>45079</v>
      </c>
      <c r="J48" s="307" t="s">
        <v>145</v>
      </c>
      <c r="K48" s="291"/>
      <c r="L48" s="292"/>
      <c r="M48" s="292">
        <v>1</v>
      </c>
      <c r="N48" s="292">
        <v>1</v>
      </c>
      <c r="O48" s="292">
        <v>58.3</v>
      </c>
      <c r="P48" s="292">
        <v>164.3</v>
      </c>
      <c r="Q48" s="292">
        <v>266.89999999999998</v>
      </c>
      <c r="R48" s="292">
        <v>369.7</v>
      </c>
      <c r="S48" s="292">
        <v>470.1</v>
      </c>
      <c r="T48" s="292">
        <v>586.9</v>
      </c>
      <c r="U48" s="292">
        <v>687.6</v>
      </c>
      <c r="V48" s="292">
        <v>1</v>
      </c>
      <c r="W48" s="233">
        <f t="shared" si="12"/>
        <v>1</v>
      </c>
      <c r="X48" s="233">
        <f t="shared" si="13"/>
        <v>0</v>
      </c>
      <c r="Y48" s="233">
        <f t="shared" si="17"/>
        <v>106.00000000000001</v>
      </c>
      <c r="Z48" s="233">
        <f t="shared" si="18"/>
        <v>102.59999999999997</v>
      </c>
      <c r="AA48" s="233">
        <f t="shared" si="15"/>
        <v>102.80000000000001</v>
      </c>
      <c r="AB48" s="233">
        <f t="shared" si="16"/>
        <v>100.40000000000003</v>
      </c>
      <c r="AC48" s="309">
        <f t="shared" si="11"/>
        <v>116.79999999999995</v>
      </c>
      <c r="AD48" s="309">
        <f t="shared" si="8"/>
        <v>100.70000000000005</v>
      </c>
      <c r="AE48" s="323">
        <v>12.061584</v>
      </c>
      <c r="AF48" s="316">
        <f t="shared" si="9"/>
        <v>1214.6015088000006</v>
      </c>
      <c r="AH48" s="188">
        <f>1.2*10.05132</f>
        <v>12.061584</v>
      </c>
    </row>
    <row r="49" spans="1:34" ht="14.45" customHeight="1" thickBot="1" x14ac:dyDescent="0.25">
      <c r="A49" s="182" t="s">
        <v>19</v>
      </c>
      <c r="B49" s="229">
        <v>23</v>
      </c>
      <c r="C49" s="230" t="s">
        <v>142</v>
      </c>
      <c r="D49" s="415" t="s">
        <v>146</v>
      </c>
      <c r="E49" s="254" t="s">
        <v>23</v>
      </c>
      <c r="F49" s="255" t="s">
        <v>147</v>
      </c>
      <c r="G49" s="424">
        <v>7.2</v>
      </c>
      <c r="H49" s="415" t="s">
        <v>35</v>
      </c>
      <c r="I49" s="306">
        <v>45413</v>
      </c>
      <c r="J49" s="290" t="s">
        <v>148</v>
      </c>
      <c r="K49" s="291"/>
      <c r="L49" s="292">
        <v>29977.8</v>
      </c>
      <c r="M49" s="292">
        <v>30374.6</v>
      </c>
      <c r="N49" s="292">
        <v>30786.5</v>
      </c>
      <c r="O49" s="292">
        <v>31188</v>
      </c>
      <c r="P49" s="292">
        <v>31583.7</v>
      </c>
      <c r="Q49" s="292">
        <v>31982.6</v>
      </c>
      <c r="R49" s="292">
        <v>32405.8</v>
      </c>
      <c r="S49" s="292">
        <v>32832</v>
      </c>
      <c r="T49" s="292">
        <v>33286.1</v>
      </c>
      <c r="U49" s="292" t="s">
        <v>43</v>
      </c>
      <c r="V49" s="292">
        <v>1</v>
      </c>
      <c r="W49" s="233">
        <f t="shared" si="12"/>
        <v>396.79999999999927</v>
      </c>
      <c r="X49" s="233">
        <f t="shared" si="13"/>
        <v>411.90000000000146</v>
      </c>
      <c r="Y49" s="233">
        <f t="shared" si="17"/>
        <v>395.70000000000073</v>
      </c>
      <c r="Z49" s="233">
        <f t="shared" si="18"/>
        <v>398.89999999999782</v>
      </c>
      <c r="AA49" s="233">
        <f t="shared" si="15"/>
        <v>423.20000000000073</v>
      </c>
      <c r="AB49" s="233">
        <f t="shared" si="16"/>
        <v>426.20000000000073</v>
      </c>
      <c r="AC49" s="309">
        <f t="shared" si="11"/>
        <v>454.09999999999854</v>
      </c>
      <c r="AD49" s="309" t="e">
        <f t="shared" si="8"/>
        <v>#VALUE!</v>
      </c>
      <c r="AE49" s="323">
        <f>AE48</f>
        <v>12.061584</v>
      </c>
      <c r="AF49" s="316"/>
    </row>
    <row r="50" spans="1:34" ht="14.45" customHeight="1" thickBot="1" x14ac:dyDescent="0.25">
      <c r="A50" s="182" t="s">
        <v>19</v>
      </c>
      <c r="B50" s="229">
        <v>23</v>
      </c>
      <c r="C50" s="230" t="s">
        <v>142</v>
      </c>
      <c r="D50" s="415"/>
      <c r="E50" s="254" t="s">
        <v>26</v>
      </c>
      <c r="F50" s="255"/>
      <c r="G50" s="424"/>
      <c r="H50" s="415"/>
      <c r="I50" s="306"/>
      <c r="J50" s="290"/>
      <c r="K50" s="291"/>
      <c r="L50" s="292">
        <v>106.11</v>
      </c>
      <c r="M50" s="292">
        <v>106.79</v>
      </c>
      <c r="N50" s="292">
        <v>107.73</v>
      </c>
      <c r="O50" s="292">
        <v>108.78</v>
      </c>
      <c r="P50" s="292">
        <v>109.62</v>
      </c>
      <c r="Q50" s="292">
        <v>110.37</v>
      </c>
      <c r="R50" s="292">
        <v>110.96</v>
      </c>
      <c r="S50" s="292">
        <v>111.52</v>
      </c>
      <c r="T50" s="292">
        <v>112.14</v>
      </c>
      <c r="U50" s="292" t="s">
        <v>43</v>
      </c>
      <c r="V50" s="292">
        <v>1</v>
      </c>
      <c r="W50" s="233">
        <f t="shared" si="12"/>
        <v>0.68000000000000682</v>
      </c>
      <c r="X50" s="233">
        <f t="shared" si="13"/>
        <v>0.93999999999999773</v>
      </c>
      <c r="Y50" s="233">
        <f t="shared" si="17"/>
        <v>0.84000000000000341</v>
      </c>
      <c r="Z50" s="233">
        <f t="shared" si="18"/>
        <v>0.75</v>
      </c>
      <c r="AA50" s="233">
        <f t="shared" si="15"/>
        <v>0.5899999999999892</v>
      </c>
      <c r="AB50" s="233">
        <f t="shared" si="16"/>
        <v>0.56000000000000227</v>
      </c>
      <c r="AC50" s="309">
        <f t="shared" si="11"/>
        <v>0.62000000000000455</v>
      </c>
      <c r="AD50" s="309" t="e">
        <f t="shared" si="8"/>
        <v>#VALUE!</v>
      </c>
      <c r="AE50" s="323">
        <f>AE47</f>
        <v>49.980008470986903</v>
      </c>
      <c r="AF50" s="316"/>
    </row>
    <row r="51" spans="1:34" ht="14.45" customHeight="1" thickBot="1" x14ac:dyDescent="0.25">
      <c r="A51" s="182" t="s">
        <v>19</v>
      </c>
      <c r="B51" s="229">
        <v>23</v>
      </c>
      <c r="C51" s="230" t="s">
        <v>142</v>
      </c>
      <c r="D51" s="234" t="s">
        <v>149</v>
      </c>
      <c r="E51" s="234" t="s">
        <v>23</v>
      </c>
      <c r="F51" s="249" t="s">
        <v>150</v>
      </c>
      <c r="G51" s="235">
        <v>41</v>
      </c>
      <c r="H51" s="257" t="s">
        <v>151</v>
      </c>
      <c r="I51" s="289">
        <v>45516</v>
      </c>
      <c r="J51" s="302" t="s">
        <v>152</v>
      </c>
      <c r="K51" s="303"/>
      <c r="L51" s="292">
        <v>45977.5</v>
      </c>
      <c r="M51" s="292">
        <v>50615</v>
      </c>
      <c r="N51" s="292">
        <v>56130.8</v>
      </c>
      <c r="O51" s="292">
        <v>61898.9</v>
      </c>
      <c r="P51" s="292">
        <v>67466.399999999994</v>
      </c>
      <c r="Q51" s="292">
        <v>72996.3</v>
      </c>
      <c r="R51" s="292">
        <v>77933.5</v>
      </c>
      <c r="S51" s="292">
        <v>83269.2</v>
      </c>
      <c r="T51" s="292">
        <v>88773.7</v>
      </c>
      <c r="U51" s="292">
        <v>93744.7</v>
      </c>
      <c r="V51" s="292">
        <v>1</v>
      </c>
      <c r="W51" s="233">
        <f t="shared" si="12"/>
        <v>4637.5</v>
      </c>
      <c r="X51" s="233">
        <f t="shared" si="13"/>
        <v>5515.8000000000029</v>
      </c>
      <c r="Y51" s="233">
        <f t="shared" si="17"/>
        <v>5567.4999999999927</v>
      </c>
      <c r="Z51" s="233">
        <f t="shared" si="18"/>
        <v>5529.9000000000087</v>
      </c>
      <c r="AA51" s="233">
        <f t="shared" si="15"/>
        <v>4937.1999999999971</v>
      </c>
      <c r="AB51" s="233">
        <f t="shared" si="16"/>
        <v>5335.6999999999971</v>
      </c>
      <c r="AC51" s="309">
        <f t="shared" si="11"/>
        <v>5504.5</v>
      </c>
      <c r="AD51" s="309">
        <f t="shared" si="8"/>
        <v>4971</v>
      </c>
      <c r="AE51" s="323">
        <f>AE48</f>
        <v>12.061584</v>
      </c>
      <c r="AF51" s="316">
        <f t="shared" si="9"/>
        <v>59958.134063999998</v>
      </c>
    </row>
    <row r="52" spans="1:34" ht="14.45" customHeight="1" thickBot="1" x14ac:dyDescent="0.25">
      <c r="A52" s="182" t="s">
        <v>19</v>
      </c>
      <c r="B52" s="229">
        <v>23</v>
      </c>
      <c r="C52" s="230" t="s">
        <v>142</v>
      </c>
      <c r="D52" s="258" t="s">
        <v>137</v>
      </c>
      <c r="E52" s="258" t="s">
        <v>23</v>
      </c>
      <c r="F52" s="249" t="s">
        <v>138</v>
      </c>
      <c r="G52" s="235">
        <v>3</v>
      </c>
      <c r="H52" s="234" t="s">
        <v>139</v>
      </c>
      <c r="I52" s="289">
        <v>45719</v>
      </c>
      <c r="J52" s="302" t="s">
        <v>153</v>
      </c>
      <c r="K52" s="303"/>
      <c r="L52" s="292">
        <v>0</v>
      </c>
      <c r="M52" s="292">
        <v>251</v>
      </c>
      <c r="N52" s="292">
        <v>292.3</v>
      </c>
      <c r="O52" s="292">
        <v>382.9</v>
      </c>
      <c r="P52" s="292">
        <v>462.4</v>
      </c>
      <c r="Q52" s="292">
        <v>539.29999999999995</v>
      </c>
      <c r="R52" s="292">
        <v>617.5</v>
      </c>
      <c r="S52" s="292">
        <v>695.9</v>
      </c>
      <c r="T52" s="292">
        <v>780.1</v>
      </c>
      <c r="U52" s="292">
        <v>904</v>
      </c>
      <c r="V52" s="292">
        <v>1</v>
      </c>
      <c r="W52" s="233">
        <f t="shared" si="12"/>
        <v>251</v>
      </c>
      <c r="X52" s="233">
        <f t="shared" si="13"/>
        <v>41.300000000000011</v>
      </c>
      <c r="Y52" s="233">
        <f t="shared" si="17"/>
        <v>79.5</v>
      </c>
      <c r="Z52" s="233">
        <f t="shared" si="18"/>
        <v>76.899999999999977</v>
      </c>
      <c r="AA52" s="233">
        <f t="shared" si="15"/>
        <v>78.200000000000045</v>
      </c>
      <c r="AB52" s="233">
        <f t="shared" si="16"/>
        <v>78.399999999999977</v>
      </c>
      <c r="AC52" s="309">
        <f t="shared" si="11"/>
        <v>84.200000000000045</v>
      </c>
      <c r="AD52" s="309">
        <f t="shared" si="8"/>
        <v>123.89999999999998</v>
      </c>
      <c r="AE52" s="323">
        <f>AE48</f>
        <v>12.061584</v>
      </c>
      <c r="AF52" s="316">
        <f t="shared" si="9"/>
        <v>1494.4302575999998</v>
      </c>
    </row>
    <row r="53" spans="1:34" ht="15" customHeight="1" thickBot="1" x14ac:dyDescent="0.25">
      <c r="A53" s="182" t="s">
        <v>19</v>
      </c>
      <c r="B53" s="213">
        <v>23</v>
      </c>
      <c r="C53" s="214" t="s">
        <v>142</v>
      </c>
      <c r="D53" s="250" t="s">
        <v>154</v>
      </c>
      <c r="E53" s="218" t="s">
        <v>23</v>
      </c>
      <c r="F53" s="221" t="s">
        <v>155</v>
      </c>
      <c r="G53" s="217">
        <v>1</v>
      </c>
      <c r="H53" s="218" t="s">
        <v>41</v>
      </c>
      <c r="I53" s="278">
        <v>45762</v>
      </c>
      <c r="J53" s="279" t="s">
        <v>156</v>
      </c>
      <c r="K53" s="280"/>
      <c r="L53" s="281">
        <v>39.5</v>
      </c>
      <c r="M53" s="281">
        <v>118.3</v>
      </c>
      <c r="N53" s="281">
        <v>197.9</v>
      </c>
      <c r="O53" s="281">
        <v>197.9</v>
      </c>
      <c r="P53" s="281">
        <v>197.9</v>
      </c>
      <c r="Q53" s="281">
        <v>197.9</v>
      </c>
      <c r="R53" s="281">
        <v>369.7</v>
      </c>
      <c r="S53" s="281">
        <v>470.1</v>
      </c>
      <c r="T53" s="281">
        <v>586.9</v>
      </c>
      <c r="U53" s="281">
        <v>687.6</v>
      </c>
      <c r="V53" s="281">
        <v>1</v>
      </c>
      <c r="W53" s="236">
        <f t="shared" si="12"/>
        <v>78.8</v>
      </c>
      <c r="X53" s="236">
        <f t="shared" si="13"/>
        <v>79.600000000000009</v>
      </c>
      <c r="Y53" s="236">
        <f t="shared" si="17"/>
        <v>0</v>
      </c>
      <c r="Z53" s="236">
        <f t="shared" si="18"/>
        <v>0</v>
      </c>
      <c r="AA53" s="236">
        <f t="shared" si="15"/>
        <v>171.79999999999998</v>
      </c>
      <c r="AB53" s="236">
        <f t="shared" si="16"/>
        <v>100.40000000000003</v>
      </c>
      <c r="AC53" s="309">
        <f t="shared" si="11"/>
        <v>116.79999999999995</v>
      </c>
      <c r="AD53" s="309">
        <f t="shared" si="8"/>
        <v>100.70000000000005</v>
      </c>
      <c r="AE53" s="320">
        <f>AE48</f>
        <v>12.061584</v>
      </c>
      <c r="AF53" s="316">
        <f t="shared" si="9"/>
        <v>1214.6015088000006</v>
      </c>
    </row>
    <row r="54" spans="1:34" ht="13.5" thickBot="1" x14ac:dyDescent="0.25">
      <c r="A54" s="182" t="s">
        <v>52</v>
      </c>
      <c r="B54" s="194" t="s">
        <v>157</v>
      </c>
      <c r="C54" s="210" t="s">
        <v>158</v>
      </c>
      <c r="D54" s="222" t="s">
        <v>159</v>
      </c>
      <c r="E54" s="222" t="s">
        <v>23</v>
      </c>
      <c r="F54" s="197">
        <v>3313917618</v>
      </c>
      <c r="G54" s="212">
        <v>1</v>
      </c>
      <c r="H54" s="197" t="s">
        <v>41</v>
      </c>
      <c r="I54" s="265">
        <v>45644</v>
      </c>
      <c r="J54" s="277" t="s">
        <v>160</v>
      </c>
      <c r="K54" s="267"/>
      <c r="L54" s="268">
        <v>147</v>
      </c>
      <c r="M54" s="268">
        <v>196</v>
      </c>
      <c r="N54" s="268">
        <v>245</v>
      </c>
      <c r="O54" s="268">
        <v>265</v>
      </c>
      <c r="P54" s="268">
        <v>350</v>
      </c>
      <c r="Q54" s="268">
        <v>388</v>
      </c>
      <c r="R54" s="268">
        <v>435</v>
      </c>
      <c r="S54" s="268">
        <v>477.7</v>
      </c>
      <c r="T54" s="268">
        <v>517</v>
      </c>
      <c r="U54" s="268">
        <v>546</v>
      </c>
      <c r="V54" s="268">
        <v>1</v>
      </c>
      <c r="W54" s="309">
        <f t="shared" si="12"/>
        <v>49</v>
      </c>
      <c r="X54" s="309">
        <f t="shared" si="13"/>
        <v>49</v>
      </c>
      <c r="Y54" s="309">
        <f t="shared" si="17"/>
        <v>85</v>
      </c>
      <c r="Z54" s="309">
        <f t="shared" si="18"/>
        <v>38</v>
      </c>
      <c r="AA54" s="309">
        <f t="shared" si="15"/>
        <v>47</v>
      </c>
      <c r="AB54" s="309">
        <f t="shared" si="16"/>
        <v>42.699999999999989</v>
      </c>
      <c r="AC54" s="309">
        <f t="shared" si="11"/>
        <v>39.300000000000011</v>
      </c>
      <c r="AD54" s="309">
        <f t="shared" si="8"/>
        <v>29</v>
      </c>
      <c r="AE54" s="315">
        <v>13.517327999999999</v>
      </c>
      <c r="AF54" s="316">
        <f t="shared" si="9"/>
        <v>392.00251199999997</v>
      </c>
      <c r="AH54" s="188">
        <f>1.2*11.26444</f>
        <v>13.517328000000001</v>
      </c>
    </row>
    <row r="55" spans="1:34" ht="13.5" thickBot="1" x14ac:dyDescent="0.25">
      <c r="B55" s="219" t="s">
        <v>157</v>
      </c>
      <c r="C55" s="214"/>
      <c r="D55" s="259" t="s">
        <v>161</v>
      </c>
      <c r="E55" s="259" t="s">
        <v>26</v>
      </c>
      <c r="F55" s="218">
        <v>3003603474</v>
      </c>
      <c r="G55" s="217"/>
      <c r="H55" s="218"/>
      <c r="I55" s="278"/>
      <c r="J55" s="279"/>
      <c r="K55" s="280"/>
      <c r="L55" s="281"/>
      <c r="M55" s="281"/>
      <c r="N55" s="281"/>
      <c r="O55" s="281"/>
      <c r="P55" s="281"/>
      <c r="Q55" s="281"/>
      <c r="R55" s="281">
        <v>0</v>
      </c>
      <c r="S55" s="281">
        <v>99.6</v>
      </c>
      <c r="T55" s="281">
        <v>112</v>
      </c>
      <c r="U55" s="281">
        <v>132</v>
      </c>
      <c r="V55" s="281">
        <v>1</v>
      </c>
      <c r="W55" s="236"/>
      <c r="X55" s="236"/>
      <c r="Y55" s="236"/>
      <c r="Z55" s="236"/>
      <c r="AA55" s="236"/>
      <c r="AB55" s="236">
        <f>S55-R55</f>
        <v>99.6</v>
      </c>
      <c r="AC55" s="309">
        <f t="shared" si="11"/>
        <v>12.400000000000006</v>
      </c>
      <c r="AD55" s="309">
        <f t="shared" si="8"/>
        <v>20</v>
      </c>
      <c r="AE55" s="321"/>
      <c r="AF55" s="316">
        <f t="shared" si="9"/>
        <v>0</v>
      </c>
    </row>
    <row r="56" spans="1:34" ht="13.5" thickBot="1" x14ac:dyDescent="0.25">
      <c r="A56" s="182" t="s">
        <v>52</v>
      </c>
      <c r="B56" s="209">
        <v>25</v>
      </c>
      <c r="C56" s="210" t="s">
        <v>162</v>
      </c>
      <c r="D56" s="196" t="s">
        <v>28</v>
      </c>
      <c r="E56" s="196" t="s">
        <v>26</v>
      </c>
      <c r="F56" s="211" t="s">
        <v>29</v>
      </c>
      <c r="G56" s="212">
        <v>1</v>
      </c>
      <c r="H56" s="197" t="s">
        <v>30</v>
      </c>
      <c r="I56" s="265">
        <v>45689</v>
      </c>
      <c r="J56" s="277" t="s">
        <v>77</v>
      </c>
      <c r="K56" s="267"/>
      <c r="L56" s="268">
        <v>917</v>
      </c>
      <c r="M56" s="268">
        <v>928</v>
      </c>
      <c r="N56" s="268">
        <v>935</v>
      </c>
      <c r="O56" s="268">
        <v>941</v>
      </c>
      <c r="P56" s="268">
        <v>946</v>
      </c>
      <c r="Q56" s="268">
        <v>951</v>
      </c>
      <c r="R56" s="268">
        <v>958</v>
      </c>
      <c r="S56" s="268">
        <v>964</v>
      </c>
      <c r="T56" s="268">
        <v>971</v>
      </c>
      <c r="U56" s="268">
        <v>978</v>
      </c>
      <c r="V56" s="268">
        <v>1</v>
      </c>
      <c r="W56" s="309">
        <f>M56-L56</f>
        <v>11</v>
      </c>
      <c r="X56" s="309">
        <f>N56-M56</f>
        <v>7</v>
      </c>
      <c r="Y56" s="309">
        <f t="shared" ref="Y56:AA59" si="19">P56-O56</f>
        <v>5</v>
      </c>
      <c r="Z56" s="309">
        <f t="shared" si="19"/>
        <v>5</v>
      </c>
      <c r="AA56" s="309">
        <f t="shared" si="19"/>
        <v>7</v>
      </c>
      <c r="AB56" s="309">
        <f>S56-R56</f>
        <v>6</v>
      </c>
      <c r="AC56" s="309">
        <f t="shared" si="11"/>
        <v>7</v>
      </c>
      <c r="AD56" s="309">
        <f t="shared" si="8"/>
        <v>7</v>
      </c>
      <c r="AE56" s="315">
        <v>50.28</v>
      </c>
      <c r="AF56" s="316">
        <f t="shared" si="9"/>
        <v>351.96000000000004</v>
      </c>
    </row>
    <row r="57" spans="1:34" ht="13.5" thickBot="1" x14ac:dyDescent="0.25">
      <c r="A57" s="182" t="s">
        <v>52</v>
      </c>
      <c r="B57" s="213">
        <v>25</v>
      </c>
      <c r="C57" s="214" t="s">
        <v>162</v>
      </c>
      <c r="D57" s="215" t="s">
        <v>163</v>
      </c>
      <c r="E57" s="215" t="s">
        <v>23</v>
      </c>
      <c r="F57" s="216"/>
      <c r="G57" s="217">
        <v>1</v>
      </c>
      <c r="H57" s="218" t="s">
        <v>41</v>
      </c>
      <c r="I57" s="278"/>
      <c r="J57" s="279"/>
      <c r="K57" s="280"/>
      <c r="L57" s="281"/>
      <c r="M57" s="281">
        <v>0</v>
      </c>
      <c r="N57" s="281">
        <v>38.200000000000003</v>
      </c>
      <c r="O57" s="281">
        <v>145.9</v>
      </c>
      <c r="P57" s="281">
        <v>256.10000000000002</v>
      </c>
      <c r="Q57" s="281">
        <v>353.1</v>
      </c>
      <c r="R57" s="281">
        <v>469</v>
      </c>
      <c r="S57" s="281">
        <v>538.1</v>
      </c>
      <c r="T57" s="281">
        <v>620.4</v>
      </c>
      <c r="U57" s="281">
        <v>830</v>
      </c>
      <c r="V57" s="281">
        <v>1</v>
      </c>
      <c r="W57" s="236"/>
      <c r="X57" s="236">
        <f>N57-M57</f>
        <v>38.200000000000003</v>
      </c>
      <c r="Y57" s="236">
        <f t="shared" si="19"/>
        <v>110.20000000000002</v>
      </c>
      <c r="Z57" s="236">
        <f t="shared" si="19"/>
        <v>97</v>
      </c>
      <c r="AA57" s="236">
        <f t="shared" si="19"/>
        <v>115.89999999999998</v>
      </c>
      <c r="AB57" s="236">
        <f>S57-R57</f>
        <v>69.100000000000023</v>
      </c>
      <c r="AC57" s="309">
        <f t="shared" si="11"/>
        <v>82.299999999999955</v>
      </c>
      <c r="AD57" s="309">
        <f t="shared" si="8"/>
        <v>209.60000000000002</v>
      </c>
      <c r="AE57" s="320">
        <v>11.781107999999998</v>
      </c>
      <c r="AF57" s="316">
        <f t="shared" si="9"/>
        <v>2469.3202367999997</v>
      </c>
      <c r="AH57" s="188">
        <f>1.2*9.81759</f>
        <v>11.781107999999998</v>
      </c>
    </row>
    <row r="58" spans="1:34" ht="13.5" thickBot="1" x14ac:dyDescent="0.25">
      <c r="A58" s="182" t="s">
        <v>52</v>
      </c>
      <c r="B58" s="248">
        <v>26</v>
      </c>
      <c r="C58" s="224" t="s">
        <v>164</v>
      </c>
      <c r="D58" s="402" t="s">
        <v>49</v>
      </c>
      <c r="E58" s="402" t="s">
        <v>23</v>
      </c>
      <c r="F58" s="226" t="s">
        <v>50</v>
      </c>
      <c r="G58" s="227">
        <v>1</v>
      </c>
      <c r="H58" s="228" t="s">
        <v>41</v>
      </c>
      <c r="I58" s="285">
        <v>45405</v>
      </c>
      <c r="J58" s="403" t="s">
        <v>78</v>
      </c>
      <c r="K58" s="404"/>
      <c r="L58" s="288"/>
      <c r="M58" s="288"/>
      <c r="N58" s="288"/>
      <c r="O58" s="288">
        <v>1</v>
      </c>
      <c r="P58" s="288">
        <v>1</v>
      </c>
      <c r="Q58" s="288">
        <v>63</v>
      </c>
      <c r="R58" s="288">
        <v>131</v>
      </c>
      <c r="S58" s="288">
        <v>187</v>
      </c>
      <c r="T58" s="288">
        <v>270</v>
      </c>
      <c r="U58" s="288">
        <v>386</v>
      </c>
      <c r="V58" s="288">
        <v>1</v>
      </c>
      <c r="W58" s="312">
        <f>M58-L58</f>
        <v>0</v>
      </c>
      <c r="X58" s="312">
        <f>N58-M58</f>
        <v>0</v>
      </c>
      <c r="Y58" s="312">
        <f t="shared" si="19"/>
        <v>0</v>
      </c>
      <c r="Z58" s="312">
        <f t="shared" si="19"/>
        <v>62</v>
      </c>
      <c r="AA58" s="312">
        <f t="shared" si="19"/>
        <v>68</v>
      </c>
      <c r="AB58" s="312">
        <f>S58-R58</f>
        <v>56</v>
      </c>
      <c r="AC58" s="312">
        <f t="shared" si="11"/>
        <v>83</v>
      </c>
      <c r="AD58" s="312">
        <f t="shared" si="8"/>
        <v>116</v>
      </c>
      <c r="AE58" s="322">
        <v>11.911944</v>
      </c>
      <c r="AF58" s="405">
        <f t="shared" si="9"/>
        <v>1381.7855039999999</v>
      </c>
      <c r="AH58" s="188">
        <f>1.2*9.92662</f>
        <v>11.911944</v>
      </c>
    </row>
    <row r="59" spans="1:34" ht="13.5" thickBot="1" x14ac:dyDescent="0.25">
      <c r="A59" s="182" t="s">
        <v>52</v>
      </c>
      <c r="B59" s="346">
        <v>27</v>
      </c>
      <c r="C59" s="347" t="s">
        <v>165</v>
      </c>
      <c r="D59" s="348" t="s">
        <v>89</v>
      </c>
      <c r="E59" s="348" t="s">
        <v>26</v>
      </c>
      <c r="F59" s="408" t="s">
        <v>90</v>
      </c>
      <c r="G59" s="349">
        <v>1</v>
      </c>
      <c r="H59" s="348" t="s">
        <v>30</v>
      </c>
      <c r="I59" s="366">
        <v>45627</v>
      </c>
      <c r="J59" s="367" t="s">
        <v>91</v>
      </c>
      <c r="K59" s="368"/>
      <c r="L59" s="369">
        <v>146.27000000000001</v>
      </c>
      <c r="M59" s="369">
        <v>168.53</v>
      </c>
      <c r="N59" s="369">
        <v>192.34</v>
      </c>
      <c r="O59" s="369">
        <v>218.71</v>
      </c>
      <c r="P59" s="369">
        <v>253.35</v>
      </c>
      <c r="Q59" s="369">
        <v>280.99</v>
      </c>
      <c r="R59" s="369">
        <v>294.08999999999997</v>
      </c>
      <c r="S59" s="369">
        <v>307.75</v>
      </c>
      <c r="T59" s="369">
        <v>323.18</v>
      </c>
      <c r="U59" s="369">
        <v>341.52</v>
      </c>
      <c r="V59" s="369">
        <v>1</v>
      </c>
      <c r="W59" s="377">
        <f>M59-L59</f>
        <v>22.259999999999991</v>
      </c>
      <c r="X59" s="377">
        <f>N59-M59</f>
        <v>23.810000000000002</v>
      </c>
      <c r="Y59" s="377">
        <f t="shared" si="19"/>
        <v>34.639999999999986</v>
      </c>
      <c r="Z59" s="377">
        <f t="shared" si="19"/>
        <v>27.640000000000015</v>
      </c>
      <c r="AA59" s="394">
        <f t="shared" si="19"/>
        <v>13.099999999999966</v>
      </c>
      <c r="AB59" s="394">
        <f>S59-R59</f>
        <v>13.660000000000025</v>
      </c>
      <c r="AC59" s="377">
        <f t="shared" si="11"/>
        <v>15.430000000000007</v>
      </c>
      <c r="AD59" s="377">
        <f t="shared" si="8"/>
        <v>18.339999999999975</v>
      </c>
      <c r="AE59" s="409">
        <v>46.87</v>
      </c>
      <c r="AF59" s="410">
        <f t="shared" si="9"/>
        <v>859.5957999999988</v>
      </c>
    </row>
    <row r="60" spans="1:34" ht="13.5" thickBot="1" x14ac:dyDescent="0.25">
      <c r="A60" s="182" t="s">
        <v>52</v>
      </c>
      <c r="B60" s="260">
        <v>32</v>
      </c>
      <c r="C60" s="261"/>
      <c r="D60" s="406" t="s">
        <v>166</v>
      </c>
      <c r="E60" s="406" t="s">
        <v>23</v>
      </c>
      <c r="F60" s="263"/>
      <c r="G60" s="207"/>
      <c r="H60" s="208"/>
      <c r="I60" s="273"/>
      <c r="J60" s="274"/>
      <c r="K60" s="275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311"/>
      <c r="X60" s="311"/>
      <c r="Y60" s="311"/>
      <c r="Z60" s="311"/>
      <c r="AA60" s="318"/>
      <c r="AB60" s="318"/>
      <c r="AC60" s="313"/>
      <c r="AD60" s="313">
        <f t="shared" si="8"/>
        <v>0</v>
      </c>
      <c r="AE60" s="399"/>
      <c r="AF60" s="407">
        <f t="shared" si="9"/>
        <v>0</v>
      </c>
    </row>
    <row r="61" spans="1:34" ht="13.5" thickBot="1" x14ac:dyDescent="0.25">
      <c r="A61" s="182" t="s">
        <v>52</v>
      </c>
      <c r="B61" s="209">
        <v>33</v>
      </c>
      <c r="C61" s="210" t="s">
        <v>167</v>
      </c>
      <c r="D61" s="196" t="s">
        <v>89</v>
      </c>
      <c r="E61" s="196" t="s">
        <v>26</v>
      </c>
      <c r="F61" s="211" t="s">
        <v>90</v>
      </c>
      <c r="G61" s="212">
        <v>1</v>
      </c>
      <c r="H61" s="197" t="s">
        <v>30</v>
      </c>
      <c r="I61" s="265">
        <v>45627</v>
      </c>
      <c r="J61" s="277" t="s">
        <v>91</v>
      </c>
      <c r="K61" s="267"/>
      <c r="L61" s="268">
        <v>44.92</v>
      </c>
      <c r="M61" s="268">
        <v>128.69999999999999</v>
      </c>
      <c r="N61" s="268">
        <v>153.07</v>
      </c>
      <c r="O61" s="268">
        <v>196.53</v>
      </c>
      <c r="P61" s="268">
        <v>240.77</v>
      </c>
      <c r="Q61" s="268">
        <v>275.32</v>
      </c>
      <c r="R61" s="268">
        <v>317.33999999999997</v>
      </c>
      <c r="S61" s="268">
        <v>352.85</v>
      </c>
      <c r="T61" s="268">
        <v>394.81</v>
      </c>
      <c r="U61" s="268">
        <v>411.65</v>
      </c>
      <c r="V61" s="268">
        <v>1</v>
      </c>
      <c r="W61" s="309">
        <f t="shared" ref="W61:W69" si="20">M61-L61</f>
        <v>83.779999999999987</v>
      </c>
      <c r="X61" s="309">
        <f t="shared" ref="X61:X69" si="21">N61-M61</f>
        <v>24.370000000000005</v>
      </c>
      <c r="Y61" s="309">
        <f t="shared" ref="Y61:AC67" si="22">P61-O61</f>
        <v>44.240000000000009</v>
      </c>
      <c r="Z61" s="309">
        <f t="shared" si="22"/>
        <v>34.549999999999983</v>
      </c>
      <c r="AA61" s="309">
        <f t="shared" si="22"/>
        <v>42.019999999999982</v>
      </c>
      <c r="AB61" s="309">
        <f t="shared" si="22"/>
        <v>35.510000000000048</v>
      </c>
      <c r="AC61" s="309">
        <f t="shared" si="22"/>
        <v>41.95999999999998</v>
      </c>
      <c r="AD61" s="309">
        <f t="shared" si="8"/>
        <v>16.839999999999975</v>
      </c>
      <c r="AE61" s="315">
        <v>26.675999999999998</v>
      </c>
      <c r="AF61" s="316">
        <f t="shared" si="9"/>
        <v>449.22383999999931</v>
      </c>
    </row>
    <row r="62" spans="1:34" ht="15" customHeight="1" thickBot="1" x14ac:dyDescent="0.25">
      <c r="A62" s="182" t="s">
        <v>52</v>
      </c>
      <c r="B62" s="213">
        <v>33</v>
      </c>
      <c r="C62" s="214" t="s">
        <v>167</v>
      </c>
      <c r="D62" s="220" t="s">
        <v>168</v>
      </c>
      <c r="E62" s="220" t="s">
        <v>23</v>
      </c>
      <c r="F62" s="216" t="s">
        <v>169</v>
      </c>
      <c r="G62" s="217">
        <v>1</v>
      </c>
      <c r="H62" s="218" t="s">
        <v>41</v>
      </c>
      <c r="I62" s="278">
        <v>45770</v>
      </c>
      <c r="J62" s="279" t="s">
        <v>170</v>
      </c>
      <c r="K62" s="280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>
        <v>1</v>
      </c>
      <c r="W62" s="236">
        <f t="shared" si="20"/>
        <v>0</v>
      </c>
      <c r="X62" s="236">
        <f t="shared" si="21"/>
        <v>0</v>
      </c>
      <c r="Y62" s="236">
        <f t="shared" si="22"/>
        <v>0</v>
      </c>
      <c r="Z62" s="236">
        <f t="shared" si="22"/>
        <v>0</v>
      </c>
      <c r="AA62" s="236">
        <f t="shared" si="22"/>
        <v>0</v>
      </c>
      <c r="AB62" s="236">
        <f t="shared" si="22"/>
        <v>0</v>
      </c>
      <c r="AC62" s="309">
        <f t="shared" si="22"/>
        <v>0</v>
      </c>
      <c r="AD62" s="309">
        <f t="shared" si="8"/>
        <v>0</v>
      </c>
      <c r="AE62" s="320">
        <v>13.62</v>
      </c>
      <c r="AF62" s="316">
        <f t="shared" si="9"/>
        <v>0</v>
      </c>
    </row>
    <row r="63" spans="1:34" ht="13.5" thickBot="1" x14ac:dyDescent="0.25">
      <c r="A63" s="182" t="s">
        <v>52</v>
      </c>
      <c r="B63" s="209">
        <v>35</v>
      </c>
      <c r="C63" s="210" t="s">
        <v>171</v>
      </c>
      <c r="D63" s="196" t="s">
        <v>89</v>
      </c>
      <c r="E63" s="196" t="s">
        <v>26</v>
      </c>
      <c r="F63" s="211" t="s">
        <v>90</v>
      </c>
      <c r="G63" s="212">
        <v>1</v>
      </c>
      <c r="H63" s="197" t="s">
        <v>30</v>
      </c>
      <c r="I63" s="265">
        <v>45717</v>
      </c>
      <c r="J63" s="277" t="s">
        <v>91</v>
      </c>
      <c r="K63" s="267"/>
      <c r="L63" s="268">
        <v>1261</v>
      </c>
      <c r="M63" s="268">
        <v>1301</v>
      </c>
      <c r="N63" s="268">
        <v>1336</v>
      </c>
      <c r="O63" s="268">
        <v>1382</v>
      </c>
      <c r="P63" s="268">
        <v>1435</v>
      </c>
      <c r="Q63" s="268">
        <v>1485</v>
      </c>
      <c r="R63" s="268">
        <v>1524</v>
      </c>
      <c r="S63" s="268">
        <v>1567</v>
      </c>
      <c r="T63" s="268">
        <v>1617</v>
      </c>
      <c r="U63" s="268">
        <v>1657</v>
      </c>
      <c r="V63" s="268">
        <v>1</v>
      </c>
      <c r="W63" s="309">
        <f t="shared" si="20"/>
        <v>40</v>
      </c>
      <c r="X63" s="309">
        <f t="shared" si="21"/>
        <v>35</v>
      </c>
      <c r="Y63" s="309">
        <f t="shared" si="22"/>
        <v>53</v>
      </c>
      <c r="Z63" s="309">
        <f t="shared" si="22"/>
        <v>50</v>
      </c>
      <c r="AA63" s="309">
        <f t="shared" si="22"/>
        <v>39</v>
      </c>
      <c r="AB63" s="309">
        <f t="shared" si="22"/>
        <v>43</v>
      </c>
      <c r="AC63" s="309">
        <f t="shared" si="22"/>
        <v>50</v>
      </c>
      <c r="AD63" s="309">
        <f t="shared" si="8"/>
        <v>40</v>
      </c>
      <c r="AE63" s="315">
        <v>49.98</v>
      </c>
      <c r="AF63" s="316">
        <f t="shared" si="9"/>
        <v>1999.1999999999998</v>
      </c>
    </row>
    <row r="64" spans="1:34" ht="14.45" customHeight="1" thickBot="1" x14ac:dyDescent="0.25">
      <c r="A64" s="182" t="s">
        <v>52</v>
      </c>
      <c r="B64" s="229">
        <v>35</v>
      </c>
      <c r="C64" s="230" t="s">
        <v>171</v>
      </c>
      <c r="D64" s="231" t="s">
        <v>172</v>
      </c>
      <c r="E64" s="231" t="s">
        <v>23</v>
      </c>
      <c r="F64" s="232" t="s">
        <v>173</v>
      </c>
      <c r="G64" s="235">
        <v>5</v>
      </c>
      <c r="H64" s="234" t="s">
        <v>174</v>
      </c>
      <c r="I64" s="289">
        <v>45658</v>
      </c>
      <c r="J64" s="290" t="s">
        <v>175</v>
      </c>
      <c r="K64" s="308"/>
      <c r="L64" s="292">
        <v>299</v>
      </c>
      <c r="M64" s="292">
        <v>509</v>
      </c>
      <c r="N64" s="292">
        <v>606</v>
      </c>
      <c r="O64" s="292">
        <v>695</v>
      </c>
      <c r="P64" s="292">
        <v>782</v>
      </c>
      <c r="Q64" s="292">
        <v>873</v>
      </c>
      <c r="R64" s="292">
        <v>964</v>
      </c>
      <c r="S64" s="292">
        <v>1059</v>
      </c>
      <c r="T64" s="292">
        <v>1158</v>
      </c>
      <c r="U64" s="292">
        <v>1251</v>
      </c>
      <c r="V64" s="292">
        <v>1</v>
      </c>
      <c r="W64" s="233">
        <f t="shared" si="20"/>
        <v>210</v>
      </c>
      <c r="X64" s="233">
        <f t="shared" si="21"/>
        <v>97</v>
      </c>
      <c r="Y64" s="233">
        <f t="shared" si="22"/>
        <v>87</v>
      </c>
      <c r="Z64" s="233">
        <f t="shared" si="22"/>
        <v>91</v>
      </c>
      <c r="AA64" s="233">
        <f t="shared" si="22"/>
        <v>91</v>
      </c>
      <c r="AB64" s="233">
        <f t="shared" si="22"/>
        <v>95</v>
      </c>
      <c r="AC64" s="309">
        <f t="shared" si="22"/>
        <v>99</v>
      </c>
      <c r="AD64" s="309">
        <f t="shared" si="8"/>
        <v>93</v>
      </c>
      <c r="AE64" s="323">
        <v>11.653872</v>
      </c>
      <c r="AF64" s="316">
        <f t="shared" si="9"/>
        <v>1083.8100959999999</v>
      </c>
    </row>
    <row r="65" spans="1:43" ht="15" customHeight="1" thickBot="1" x14ac:dyDescent="0.25">
      <c r="A65" s="182" t="s">
        <v>52</v>
      </c>
      <c r="B65" s="329">
        <v>35</v>
      </c>
      <c r="C65" s="237" t="s">
        <v>171</v>
      </c>
      <c r="D65" s="200" t="s">
        <v>176</v>
      </c>
      <c r="E65" s="200" t="s">
        <v>23</v>
      </c>
      <c r="F65" s="330" t="s">
        <v>177</v>
      </c>
      <c r="G65" s="240">
        <v>1</v>
      </c>
      <c r="H65" s="201" t="s">
        <v>41</v>
      </c>
      <c r="I65" s="269">
        <v>45642</v>
      </c>
      <c r="J65" s="357" t="s">
        <v>178</v>
      </c>
      <c r="K65" s="271"/>
      <c r="L65" s="272">
        <v>398</v>
      </c>
      <c r="M65" s="272">
        <v>391</v>
      </c>
      <c r="N65" s="272">
        <v>478</v>
      </c>
      <c r="O65" s="272">
        <v>566</v>
      </c>
      <c r="P65" s="272">
        <v>651</v>
      </c>
      <c r="Q65" s="272">
        <v>736</v>
      </c>
      <c r="R65" s="272">
        <v>819</v>
      </c>
      <c r="S65" s="272">
        <v>886</v>
      </c>
      <c r="T65" s="272">
        <v>948</v>
      </c>
      <c r="U65" s="272">
        <v>999</v>
      </c>
      <c r="V65" s="272">
        <v>1</v>
      </c>
      <c r="W65" s="310">
        <f t="shared" si="20"/>
        <v>-7</v>
      </c>
      <c r="X65" s="310">
        <f t="shared" si="21"/>
        <v>87</v>
      </c>
      <c r="Y65" s="310">
        <f t="shared" si="22"/>
        <v>85</v>
      </c>
      <c r="Z65" s="310">
        <f t="shared" si="22"/>
        <v>85</v>
      </c>
      <c r="AA65" s="310">
        <f t="shared" si="22"/>
        <v>83</v>
      </c>
      <c r="AB65" s="310">
        <f t="shared" si="22"/>
        <v>67</v>
      </c>
      <c r="AC65" s="309">
        <f t="shared" si="22"/>
        <v>62</v>
      </c>
      <c r="AD65" s="309">
        <f t="shared" si="8"/>
        <v>51</v>
      </c>
      <c r="AE65" s="317">
        <f>AE64</f>
        <v>11.653872</v>
      </c>
      <c r="AF65" s="316">
        <f t="shared" si="9"/>
        <v>594.34747200000004</v>
      </c>
    </row>
    <row r="66" spans="1:43" ht="13.5" thickBot="1" x14ac:dyDescent="0.25">
      <c r="A66" s="182" t="s">
        <v>52</v>
      </c>
      <c r="B66" s="241">
        <v>36</v>
      </c>
      <c r="C66" s="242" t="s">
        <v>179</v>
      </c>
      <c r="D66" s="243" t="s">
        <v>28</v>
      </c>
      <c r="E66" s="243" t="s">
        <v>26</v>
      </c>
      <c r="F66" s="244" t="s">
        <v>29</v>
      </c>
      <c r="G66" s="245">
        <v>1</v>
      </c>
      <c r="H66" s="331" t="s">
        <v>30</v>
      </c>
      <c r="I66" s="296">
        <v>45689</v>
      </c>
      <c r="J66" s="297" t="s">
        <v>77</v>
      </c>
      <c r="K66" s="298"/>
      <c r="L66" s="299">
        <v>1232</v>
      </c>
      <c r="M66" s="299">
        <v>1259</v>
      </c>
      <c r="N66" s="299">
        <v>1285</v>
      </c>
      <c r="O66" s="299">
        <v>1313</v>
      </c>
      <c r="P66" s="299">
        <v>1342</v>
      </c>
      <c r="Q66" s="299">
        <v>1373</v>
      </c>
      <c r="R66" s="299">
        <v>1405</v>
      </c>
      <c r="S66" s="299">
        <v>1451</v>
      </c>
      <c r="T66" s="299">
        <v>1499</v>
      </c>
      <c r="U66" s="299">
        <v>1552</v>
      </c>
      <c r="V66" s="299">
        <v>1</v>
      </c>
      <c r="W66" s="313">
        <f t="shared" si="20"/>
        <v>27</v>
      </c>
      <c r="X66" s="313">
        <f t="shared" si="21"/>
        <v>26</v>
      </c>
      <c r="Y66" s="313">
        <f t="shared" si="22"/>
        <v>29</v>
      </c>
      <c r="Z66" s="313">
        <f t="shared" si="22"/>
        <v>31</v>
      </c>
      <c r="AA66" s="327">
        <f t="shared" si="22"/>
        <v>32</v>
      </c>
      <c r="AB66" s="327">
        <f t="shared" si="22"/>
        <v>46</v>
      </c>
      <c r="AC66" s="309">
        <f t="shared" si="22"/>
        <v>48</v>
      </c>
      <c r="AD66" s="309">
        <f t="shared" si="8"/>
        <v>53</v>
      </c>
      <c r="AE66" s="381">
        <v>56.802580645161299</v>
      </c>
      <c r="AF66" s="316">
        <f t="shared" si="9"/>
        <v>3010.5367741935488</v>
      </c>
    </row>
    <row r="67" spans="1:43" ht="15" customHeight="1" thickBot="1" x14ac:dyDescent="0.25">
      <c r="A67" s="182" t="s">
        <v>52</v>
      </c>
      <c r="B67" s="213">
        <v>36</v>
      </c>
      <c r="C67" s="214" t="s">
        <v>179</v>
      </c>
      <c r="D67" s="218" t="s">
        <v>180</v>
      </c>
      <c r="E67" s="218" t="s">
        <v>23</v>
      </c>
      <c r="F67" s="221" t="s">
        <v>181</v>
      </c>
      <c r="G67" s="217">
        <v>1</v>
      </c>
      <c r="H67" s="218" t="s">
        <v>41</v>
      </c>
      <c r="I67" s="278">
        <v>45803</v>
      </c>
      <c r="J67" s="279" t="s">
        <v>182</v>
      </c>
      <c r="K67" s="280"/>
      <c r="L67" s="281">
        <v>171.5</v>
      </c>
      <c r="M67" s="281">
        <v>176.9</v>
      </c>
      <c r="N67" s="281">
        <v>176.9</v>
      </c>
      <c r="O67" s="281">
        <v>234.1</v>
      </c>
      <c r="P67" s="281">
        <v>341</v>
      </c>
      <c r="Q67" s="281">
        <v>420</v>
      </c>
      <c r="R67" s="281">
        <v>587.70000000000005</v>
      </c>
      <c r="S67" s="281">
        <v>803.1</v>
      </c>
      <c r="T67" s="281">
        <v>1062.4000000000001</v>
      </c>
      <c r="U67" s="281">
        <v>1278.4000000000001</v>
      </c>
      <c r="V67" s="281">
        <v>1</v>
      </c>
      <c r="W67" s="236">
        <f t="shared" si="20"/>
        <v>5.4000000000000057</v>
      </c>
      <c r="X67" s="236">
        <f t="shared" si="21"/>
        <v>0</v>
      </c>
      <c r="Y67" s="236">
        <f t="shared" si="22"/>
        <v>106.9</v>
      </c>
      <c r="Z67" s="309">
        <f t="shared" si="22"/>
        <v>79</v>
      </c>
      <c r="AA67" s="382">
        <f t="shared" si="22"/>
        <v>167.70000000000005</v>
      </c>
      <c r="AB67" s="382">
        <f t="shared" si="22"/>
        <v>215.39999999999998</v>
      </c>
      <c r="AC67" s="309">
        <f t="shared" si="22"/>
        <v>259.30000000000007</v>
      </c>
      <c r="AD67" s="309">
        <f t="shared" si="8"/>
        <v>216</v>
      </c>
      <c r="AE67" s="383">
        <v>12.684984</v>
      </c>
      <c r="AF67" s="316">
        <f t="shared" si="9"/>
        <v>2739.9565440000001</v>
      </c>
    </row>
    <row r="68" spans="1:43" ht="13.5" thickBot="1" x14ac:dyDescent="0.25">
      <c r="A68" s="182" t="s">
        <v>52</v>
      </c>
      <c r="B68" s="209">
        <v>38</v>
      </c>
      <c r="C68" s="210" t="s">
        <v>183</v>
      </c>
      <c r="D68" s="416" t="s">
        <v>184</v>
      </c>
      <c r="E68" s="222" t="s">
        <v>23</v>
      </c>
      <c r="F68" s="332" t="s">
        <v>185</v>
      </c>
      <c r="G68" s="425">
        <v>36</v>
      </c>
      <c r="H68" s="416" t="s">
        <v>186</v>
      </c>
      <c r="I68" s="265">
        <v>44939</v>
      </c>
      <c r="J68" s="358" t="s">
        <v>187</v>
      </c>
      <c r="K68" s="359"/>
      <c r="L68" s="268">
        <v>4149</v>
      </c>
      <c r="M68" s="268">
        <v>4263</v>
      </c>
      <c r="N68" s="268">
        <v>4276</v>
      </c>
      <c r="O68" s="268">
        <v>4287</v>
      </c>
      <c r="P68" s="268">
        <v>4288</v>
      </c>
      <c r="Q68" s="268">
        <v>4288</v>
      </c>
      <c r="R68" s="268">
        <v>13.1</v>
      </c>
      <c r="S68" s="268">
        <v>391.1</v>
      </c>
      <c r="T68" s="268">
        <v>2086.1999999999998</v>
      </c>
      <c r="U68" s="268">
        <v>4499</v>
      </c>
      <c r="V68" s="268">
        <v>1</v>
      </c>
      <c r="W68" s="309">
        <f t="shared" si="20"/>
        <v>114</v>
      </c>
      <c r="X68" s="309">
        <f t="shared" si="21"/>
        <v>13</v>
      </c>
      <c r="Y68" s="309">
        <f>P68-O68</f>
        <v>1</v>
      </c>
      <c r="Z68" s="309">
        <f>Q68-P68</f>
        <v>0</v>
      </c>
      <c r="AA68" s="382">
        <f>R68-Q68</f>
        <v>-4274.8999999999996</v>
      </c>
      <c r="AB68" s="382">
        <f>S68-R68</f>
        <v>378</v>
      </c>
      <c r="AC68" s="309">
        <f t="shared" ref="AC68:AC85" si="23">T68-S68</f>
        <v>1695.1</v>
      </c>
      <c r="AD68" s="309">
        <f t="shared" ref="AD68:AD85" si="24">U68-T68</f>
        <v>2412.8000000000002</v>
      </c>
      <c r="AE68" s="384">
        <v>15.068676</v>
      </c>
      <c r="AF68" s="316">
        <f t="shared" ref="AF68:AF85" si="25">V68*AD68*AE68</f>
        <v>36357.7014528</v>
      </c>
    </row>
    <row r="69" spans="1:43" ht="14.45" customHeight="1" thickBot="1" x14ac:dyDescent="0.25">
      <c r="A69" s="182" t="s">
        <v>52</v>
      </c>
      <c r="B69" s="229">
        <v>38</v>
      </c>
      <c r="C69" s="230" t="s">
        <v>183</v>
      </c>
      <c r="D69" s="417"/>
      <c r="E69" s="333" t="s">
        <v>26</v>
      </c>
      <c r="F69" s="334" t="s">
        <v>185</v>
      </c>
      <c r="G69" s="423"/>
      <c r="H69" s="417"/>
      <c r="I69" s="289"/>
      <c r="J69" s="360"/>
      <c r="K69" s="361"/>
      <c r="L69" s="292">
        <v>6.5</v>
      </c>
      <c r="M69" s="292">
        <v>6.7</v>
      </c>
      <c r="N69" s="292">
        <v>6.8</v>
      </c>
      <c r="O69" s="292">
        <v>6.8</v>
      </c>
      <c r="P69" s="292">
        <v>6.93</v>
      </c>
      <c r="Q69" s="292">
        <v>6.93</v>
      </c>
      <c r="R69" s="292">
        <v>6.9340000000000002</v>
      </c>
      <c r="S69" s="292">
        <v>9.51</v>
      </c>
      <c r="T69" s="292">
        <v>12.37</v>
      </c>
      <c r="U69" s="292">
        <v>15.49</v>
      </c>
      <c r="V69" s="292">
        <v>1</v>
      </c>
      <c r="W69" s="233">
        <f t="shared" si="20"/>
        <v>0.20000000000000018</v>
      </c>
      <c r="X69" s="233">
        <f t="shared" si="21"/>
        <v>9.9999999999999645E-2</v>
      </c>
      <c r="Y69" s="233">
        <f>P69-O69</f>
        <v>0.12999999999999989</v>
      </c>
      <c r="Z69" s="309">
        <f>Q69-P69</f>
        <v>0</v>
      </c>
      <c r="AA69" s="382">
        <f t="shared" ref="AA69:AA85" si="26">R69-Q69</f>
        <v>4.0000000000004476E-3</v>
      </c>
      <c r="AB69" s="382">
        <f t="shared" ref="AB69:AB85" si="27">S69-R69</f>
        <v>2.5759999999999996</v>
      </c>
      <c r="AC69" s="309">
        <f t="shared" si="23"/>
        <v>2.8599999999999994</v>
      </c>
      <c r="AD69" s="309">
        <f t="shared" si="24"/>
        <v>3.120000000000001</v>
      </c>
      <c r="AE69" s="385">
        <v>66.431967213114703</v>
      </c>
      <c r="AF69" s="316">
        <f t="shared" si="25"/>
        <v>207.26773770491795</v>
      </c>
    </row>
    <row r="70" spans="1:43" ht="15" customHeight="1" thickBot="1" x14ac:dyDescent="0.25">
      <c r="A70" s="182" t="s">
        <v>52</v>
      </c>
      <c r="B70" s="213">
        <v>38</v>
      </c>
      <c r="C70" s="214" t="s">
        <v>183</v>
      </c>
      <c r="D70" s="259" t="s">
        <v>188</v>
      </c>
      <c r="E70" s="259" t="s">
        <v>23</v>
      </c>
      <c r="F70" s="216" t="s">
        <v>189</v>
      </c>
      <c r="G70" s="217">
        <v>1</v>
      </c>
      <c r="H70" s="215" t="s">
        <v>41</v>
      </c>
      <c r="I70" s="278">
        <v>45748</v>
      </c>
      <c r="J70" s="279" t="s">
        <v>190</v>
      </c>
      <c r="K70" s="301"/>
      <c r="L70" s="281"/>
      <c r="M70" s="281"/>
      <c r="N70" s="281"/>
      <c r="O70" s="281">
        <v>0</v>
      </c>
      <c r="P70" s="281">
        <v>0</v>
      </c>
      <c r="Q70" s="281">
        <v>24.7</v>
      </c>
      <c r="R70" s="281">
        <v>24.7</v>
      </c>
      <c r="S70" s="281">
        <v>46.9</v>
      </c>
      <c r="T70" s="281">
        <v>65.3</v>
      </c>
      <c r="U70" s="281">
        <v>79</v>
      </c>
      <c r="V70" s="281">
        <v>1</v>
      </c>
      <c r="W70" s="236">
        <f>M70-L70</f>
        <v>0</v>
      </c>
      <c r="X70" s="236">
        <f t="shared" ref="X70:X78" si="28">N70-M70</f>
        <v>0</v>
      </c>
      <c r="Y70" s="236">
        <f t="shared" ref="Y70:Y84" si="29">P70-O70</f>
        <v>0</v>
      </c>
      <c r="Z70" s="312">
        <f>Q70-P70</f>
        <v>24.7</v>
      </c>
      <c r="AA70" s="328">
        <f t="shared" si="26"/>
        <v>0</v>
      </c>
      <c r="AB70" s="328">
        <f t="shared" si="27"/>
        <v>22.2</v>
      </c>
      <c r="AC70" s="309">
        <f t="shared" si="23"/>
        <v>18.399999999999999</v>
      </c>
      <c r="AD70" s="309">
        <f t="shared" si="24"/>
        <v>13.700000000000003</v>
      </c>
      <c r="AE70" s="383">
        <f>AE68</f>
        <v>15.068676</v>
      </c>
      <c r="AF70" s="316">
        <f t="shared" si="25"/>
        <v>206.44086120000003</v>
      </c>
      <c r="AH70" s="188">
        <f>1.2*12.55723</f>
        <v>15.068676</v>
      </c>
    </row>
    <row r="71" spans="1:43" ht="15" customHeight="1" thickBot="1" x14ac:dyDescent="0.25">
      <c r="B71" s="209">
        <v>40</v>
      </c>
      <c r="C71" s="210"/>
      <c r="D71" s="335" t="s">
        <v>161</v>
      </c>
      <c r="E71" s="222" t="s">
        <v>191</v>
      </c>
      <c r="F71" s="336">
        <v>3003603474</v>
      </c>
      <c r="G71" s="212"/>
      <c r="H71" s="196"/>
      <c r="I71" s="265"/>
      <c r="J71" s="277"/>
      <c r="K71" s="362"/>
      <c r="L71" s="268"/>
      <c r="M71" s="268"/>
      <c r="N71" s="268"/>
      <c r="O71" s="268"/>
      <c r="P71" s="268"/>
      <c r="Q71" s="268"/>
      <c r="R71" s="268">
        <v>0</v>
      </c>
      <c r="S71" s="268">
        <v>4.0599999999999996</v>
      </c>
      <c r="T71" s="375">
        <v>8</v>
      </c>
      <c r="U71" s="375">
        <v>19</v>
      </c>
      <c r="V71" s="268">
        <v>1</v>
      </c>
      <c r="W71" s="309"/>
      <c r="X71" s="309"/>
      <c r="Y71" s="309"/>
      <c r="Z71" s="309"/>
      <c r="AA71" s="309"/>
      <c r="AB71" s="382">
        <f t="shared" si="27"/>
        <v>4.0599999999999996</v>
      </c>
      <c r="AC71" s="309">
        <f t="shared" si="23"/>
        <v>3.9400000000000004</v>
      </c>
      <c r="AD71" s="309">
        <f t="shared" si="24"/>
        <v>11</v>
      </c>
      <c r="AE71" s="384">
        <v>86.49</v>
      </c>
      <c r="AF71" s="316">
        <f t="shared" si="25"/>
        <v>951.39</v>
      </c>
    </row>
    <row r="72" spans="1:43" ht="13.5" thickBot="1" x14ac:dyDescent="0.25">
      <c r="A72" s="182" t="s">
        <v>52</v>
      </c>
      <c r="B72" s="329">
        <v>40</v>
      </c>
      <c r="C72" s="237" t="s">
        <v>192</v>
      </c>
      <c r="D72" s="337" t="s">
        <v>193</v>
      </c>
      <c r="E72" s="337" t="s">
        <v>23</v>
      </c>
      <c r="F72" s="338" t="s">
        <v>194</v>
      </c>
      <c r="G72" s="240">
        <v>1</v>
      </c>
      <c r="H72" s="200" t="s">
        <v>41</v>
      </c>
      <c r="I72" s="269">
        <v>45284</v>
      </c>
      <c r="J72" s="357" t="s">
        <v>195</v>
      </c>
      <c r="K72" s="271"/>
      <c r="L72" s="272"/>
      <c r="M72" s="272"/>
      <c r="N72" s="272"/>
      <c r="O72" s="272"/>
      <c r="P72" s="272"/>
      <c r="Q72" s="272"/>
      <c r="R72" s="272"/>
      <c r="S72" s="272">
        <v>10.050000000000001</v>
      </c>
      <c r="T72" s="398">
        <v>37.799999999999997</v>
      </c>
      <c r="U72" s="398">
        <v>78.5</v>
      </c>
      <c r="V72" s="272">
        <v>1</v>
      </c>
      <c r="W72" s="310">
        <f>M72-L72</f>
        <v>0</v>
      </c>
      <c r="X72" s="310">
        <f t="shared" si="28"/>
        <v>0</v>
      </c>
      <c r="Y72" s="310">
        <f t="shared" si="29"/>
        <v>0</v>
      </c>
      <c r="Z72" s="310">
        <f t="shared" ref="Z72:Z85" si="30">Q72-P72</f>
        <v>0</v>
      </c>
      <c r="AA72" s="310">
        <f t="shared" si="26"/>
        <v>0</v>
      </c>
      <c r="AB72" s="386">
        <f t="shared" si="27"/>
        <v>10.050000000000001</v>
      </c>
      <c r="AC72" s="309">
        <f t="shared" si="23"/>
        <v>27.749999999999996</v>
      </c>
      <c r="AD72" s="309">
        <f t="shared" si="24"/>
        <v>40.700000000000003</v>
      </c>
      <c r="AE72" s="387">
        <f>1.2*11.57176</f>
        <v>13.886111999999999</v>
      </c>
      <c r="AF72" s="316">
        <f t="shared" si="25"/>
        <v>565.16475839999998</v>
      </c>
      <c r="AH72" s="188">
        <f>1.2*11.57176</f>
        <v>13.886111999999999</v>
      </c>
    </row>
    <row r="73" spans="1:43" ht="13.5" thickBot="1" x14ac:dyDescent="0.25">
      <c r="A73" s="182" t="s">
        <v>52</v>
      </c>
      <c r="B73" s="241">
        <v>41</v>
      </c>
      <c r="C73" s="243" t="s">
        <v>196</v>
      </c>
      <c r="D73" s="339" t="s">
        <v>193</v>
      </c>
      <c r="E73" s="340" t="s">
        <v>23</v>
      </c>
      <c r="F73" s="341" t="s">
        <v>194</v>
      </c>
      <c r="G73" s="245">
        <v>1</v>
      </c>
      <c r="H73" s="243" t="s">
        <v>41</v>
      </c>
      <c r="I73" s="296">
        <v>45244</v>
      </c>
      <c r="J73" s="297" t="s">
        <v>195</v>
      </c>
      <c r="K73" s="298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>
        <v>1</v>
      </c>
      <c r="W73" s="313">
        <f>M73-L73</f>
        <v>0</v>
      </c>
      <c r="X73" s="313">
        <f t="shared" si="28"/>
        <v>0</v>
      </c>
      <c r="Y73" s="313">
        <f t="shared" si="29"/>
        <v>0</v>
      </c>
      <c r="Z73" s="313">
        <f t="shared" si="30"/>
        <v>0</v>
      </c>
      <c r="AA73" s="327">
        <f t="shared" si="26"/>
        <v>0</v>
      </c>
      <c r="AB73" s="327">
        <f t="shared" si="27"/>
        <v>0</v>
      </c>
      <c r="AC73" s="309">
        <f t="shared" si="23"/>
        <v>0</v>
      </c>
      <c r="AD73" s="309">
        <f t="shared" si="24"/>
        <v>0</v>
      </c>
      <c r="AE73" s="388" t="s">
        <v>43</v>
      </c>
      <c r="AF73" s="316"/>
    </row>
    <row r="74" spans="1:43" ht="14.45" customHeight="1" thickBot="1" x14ac:dyDescent="0.25">
      <c r="A74" s="182" t="s">
        <v>52</v>
      </c>
      <c r="B74" s="229">
        <v>41</v>
      </c>
      <c r="C74" s="231" t="s">
        <v>196</v>
      </c>
      <c r="D74" s="231" t="s">
        <v>197</v>
      </c>
      <c r="E74" s="231" t="s">
        <v>23</v>
      </c>
      <c r="F74" s="342"/>
      <c r="G74" s="235">
        <v>4</v>
      </c>
      <c r="H74" s="231" t="s">
        <v>198</v>
      </c>
      <c r="I74" s="289"/>
      <c r="J74" s="290"/>
      <c r="K74" s="291"/>
      <c r="L74" s="292">
        <v>28204.06</v>
      </c>
      <c r="M74" s="292">
        <v>29380.04</v>
      </c>
      <c r="N74" s="292">
        <v>30822.82</v>
      </c>
      <c r="O74" s="363">
        <v>31705.74</v>
      </c>
      <c r="P74" s="292">
        <v>32655.72</v>
      </c>
      <c r="Q74" s="292">
        <v>33313.699999999997</v>
      </c>
      <c r="R74" s="292">
        <v>33891.85</v>
      </c>
      <c r="S74" s="276">
        <v>35075.82</v>
      </c>
      <c r="T74" s="363">
        <v>35576.480000000003</v>
      </c>
      <c r="U74" s="363">
        <v>36442.449999999997</v>
      </c>
      <c r="V74" s="292">
        <v>1</v>
      </c>
      <c r="W74" s="233">
        <f>M74-L74</f>
        <v>1175.9799999999996</v>
      </c>
      <c r="X74" s="233">
        <f t="shared" si="28"/>
        <v>1442.7799999999988</v>
      </c>
      <c r="Y74" s="376">
        <f t="shared" si="29"/>
        <v>949.97999999999956</v>
      </c>
      <c r="Z74" s="309">
        <f t="shared" si="30"/>
        <v>657.97999999999593</v>
      </c>
      <c r="AA74" s="382">
        <f t="shared" si="26"/>
        <v>578.15000000000146</v>
      </c>
      <c r="AB74" s="382">
        <f t="shared" si="27"/>
        <v>1183.9700000000012</v>
      </c>
      <c r="AC74" s="309">
        <f t="shared" si="23"/>
        <v>500.66000000000349</v>
      </c>
      <c r="AD74" s="309">
        <f t="shared" si="24"/>
        <v>865.96999999999389</v>
      </c>
      <c r="AE74" s="389">
        <v>13.44511</v>
      </c>
      <c r="AF74" s="316">
        <f t="shared" si="25"/>
        <v>11643.061906699917</v>
      </c>
      <c r="AH74" s="187">
        <f>1.2*11.20426</f>
        <v>13.445112</v>
      </c>
      <c r="AI74" s="390"/>
      <c r="AJ74" s="390"/>
      <c r="AK74" s="390"/>
      <c r="AL74" s="390"/>
      <c r="AM74" s="397"/>
      <c r="AN74" s="390"/>
      <c r="AO74" s="390"/>
      <c r="AP74" s="187"/>
      <c r="AQ74" s="390"/>
    </row>
    <row r="75" spans="1:43" ht="14.45" customHeight="1" thickBot="1" x14ac:dyDescent="0.25">
      <c r="B75" s="260"/>
      <c r="C75" s="262"/>
      <c r="D75" s="262"/>
      <c r="E75" s="262"/>
      <c r="F75" s="343"/>
      <c r="G75" s="207"/>
      <c r="H75" s="262"/>
      <c r="I75" s="273"/>
      <c r="J75" s="274"/>
      <c r="K75" s="275"/>
      <c r="L75" s="276"/>
      <c r="M75" s="276"/>
      <c r="N75" s="276"/>
      <c r="O75" s="364"/>
      <c r="P75" s="276"/>
      <c r="Q75" s="276"/>
      <c r="R75" s="276">
        <v>34430.17</v>
      </c>
      <c r="S75" s="276"/>
      <c r="T75" s="276"/>
      <c r="U75" s="276"/>
      <c r="V75" s="292">
        <v>1</v>
      </c>
      <c r="W75" s="233">
        <f t="shared" ref="W75" si="31">M75-L75</f>
        <v>0</v>
      </c>
      <c r="X75" s="233">
        <f t="shared" ref="X75" si="32">N75-M75</f>
        <v>0</v>
      </c>
      <c r="Y75" s="376">
        <f t="shared" si="29"/>
        <v>0</v>
      </c>
      <c r="Z75" s="309">
        <f t="shared" si="30"/>
        <v>0</v>
      </c>
      <c r="AA75" s="382">
        <f t="shared" si="26"/>
        <v>34430.17</v>
      </c>
      <c r="AB75" s="382">
        <f t="shared" ref="AB75" si="33">S75-R75</f>
        <v>-34430.17</v>
      </c>
      <c r="AC75" s="309"/>
      <c r="AD75" s="309">
        <f t="shared" si="24"/>
        <v>0</v>
      </c>
      <c r="AE75" s="391"/>
      <c r="AF75" s="316">
        <f t="shared" si="25"/>
        <v>0</v>
      </c>
      <c r="AH75" s="390"/>
      <c r="AI75" s="390"/>
      <c r="AJ75" s="390"/>
      <c r="AK75" s="390"/>
      <c r="AL75" s="390"/>
      <c r="AM75" s="397"/>
      <c r="AN75" s="390"/>
      <c r="AO75" s="390"/>
      <c r="AP75" s="187"/>
      <c r="AQ75" s="390"/>
    </row>
    <row r="76" spans="1:43" ht="13.5" thickBot="1" x14ac:dyDescent="0.25">
      <c r="A76" s="182" t="s">
        <v>19</v>
      </c>
      <c r="B76" s="209">
        <v>42</v>
      </c>
      <c r="C76" s="210" t="s">
        <v>199</v>
      </c>
      <c r="D76" s="196" t="s">
        <v>89</v>
      </c>
      <c r="E76" s="196" t="s">
        <v>26</v>
      </c>
      <c r="F76" s="211" t="s">
        <v>90</v>
      </c>
      <c r="G76" s="344">
        <v>1</v>
      </c>
      <c r="H76" s="196" t="s">
        <v>30</v>
      </c>
      <c r="I76" s="265">
        <v>45627</v>
      </c>
      <c r="J76" s="277" t="s">
        <v>132</v>
      </c>
      <c r="K76" s="267"/>
      <c r="L76" s="268">
        <v>388.81</v>
      </c>
      <c r="M76" s="268">
        <v>411.53</v>
      </c>
      <c r="N76" s="268">
        <v>434.24</v>
      </c>
      <c r="O76" s="268">
        <v>461.24</v>
      </c>
      <c r="P76" s="268">
        <v>487.59</v>
      </c>
      <c r="Q76" s="268">
        <v>510.45</v>
      </c>
      <c r="R76" s="268">
        <v>535.33000000000004</v>
      </c>
      <c r="S76" s="268">
        <v>561.78</v>
      </c>
      <c r="T76" s="268">
        <v>592.92999999999995</v>
      </c>
      <c r="U76" s="268">
        <v>621.84</v>
      </c>
      <c r="V76" s="268">
        <v>1</v>
      </c>
      <c r="W76" s="309">
        <f>M76-L76</f>
        <v>22.71999999999997</v>
      </c>
      <c r="X76" s="309">
        <f t="shared" si="28"/>
        <v>22.710000000000036</v>
      </c>
      <c r="Y76" s="309">
        <f t="shared" si="29"/>
        <v>26.349999999999966</v>
      </c>
      <c r="Z76" s="309">
        <f t="shared" si="30"/>
        <v>22.860000000000014</v>
      </c>
      <c r="AA76" s="382">
        <f t="shared" si="26"/>
        <v>24.880000000000052</v>
      </c>
      <c r="AB76" s="382">
        <f t="shared" si="27"/>
        <v>26.449999999999932</v>
      </c>
      <c r="AC76" s="309">
        <f t="shared" si="23"/>
        <v>31.149999999999977</v>
      </c>
      <c r="AD76" s="309">
        <f t="shared" si="24"/>
        <v>28.910000000000082</v>
      </c>
      <c r="AE76" s="384">
        <v>129.63999999999999</v>
      </c>
      <c r="AF76" s="316">
        <f t="shared" si="25"/>
        <v>3747.8924000000102</v>
      </c>
    </row>
    <row r="77" spans="1:43" ht="14.45" customHeight="1" thickBot="1" x14ac:dyDescent="0.25">
      <c r="A77" s="182" t="s">
        <v>19</v>
      </c>
      <c r="B77" s="229">
        <v>42</v>
      </c>
      <c r="C77" s="230" t="s">
        <v>199</v>
      </c>
      <c r="D77" s="414" t="s">
        <v>200</v>
      </c>
      <c r="E77" s="231" t="s">
        <v>23</v>
      </c>
      <c r="F77" s="232" t="s">
        <v>201</v>
      </c>
      <c r="G77" s="426">
        <v>52.4</v>
      </c>
      <c r="H77" s="414" t="s">
        <v>202</v>
      </c>
      <c r="I77" s="289">
        <v>44795</v>
      </c>
      <c r="J77" s="290" t="s">
        <v>203</v>
      </c>
      <c r="K77" s="308"/>
      <c r="L77" s="292">
        <v>12900.7</v>
      </c>
      <c r="M77" s="292">
        <v>13407.6</v>
      </c>
      <c r="N77" s="292">
        <v>13949.7</v>
      </c>
      <c r="O77" s="292">
        <v>14588.5</v>
      </c>
      <c r="P77" s="292">
        <v>15270.9</v>
      </c>
      <c r="Q77" s="292">
        <v>15889.6</v>
      </c>
      <c r="R77" s="292">
        <v>16425.900000000001</v>
      </c>
      <c r="S77" s="292">
        <v>16923.3</v>
      </c>
      <c r="T77" s="292">
        <v>17383.3</v>
      </c>
      <c r="U77" s="292">
        <v>17822.3</v>
      </c>
      <c r="V77" s="292">
        <v>1</v>
      </c>
      <c r="W77" s="233">
        <f>M77-L77</f>
        <v>506.89999999999964</v>
      </c>
      <c r="X77" s="233">
        <f t="shared" si="28"/>
        <v>542.10000000000036</v>
      </c>
      <c r="Y77" s="233">
        <f t="shared" si="29"/>
        <v>682.39999999999964</v>
      </c>
      <c r="Z77" s="309">
        <f t="shared" si="30"/>
        <v>618.70000000000073</v>
      </c>
      <c r="AA77" s="382">
        <f t="shared" si="26"/>
        <v>536.30000000000109</v>
      </c>
      <c r="AB77" s="382">
        <f t="shared" si="27"/>
        <v>497.39999999999782</v>
      </c>
      <c r="AC77" s="309">
        <f t="shared" si="23"/>
        <v>460</v>
      </c>
      <c r="AD77" s="309">
        <f t="shared" si="24"/>
        <v>439</v>
      </c>
      <c r="AE77" s="385">
        <v>13.537559999999999</v>
      </c>
      <c r="AF77" s="316">
        <f t="shared" si="25"/>
        <v>5942.98884</v>
      </c>
      <c r="AH77" s="188">
        <f>1.2*11.2813</f>
        <v>13.537559999999999</v>
      </c>
    </row>
    <row r="78" spans="1:43" ht="14.45" customHeight="1" thickBot="1" x14ac:dyDescent="0.25">
      <c r="A78" s="182" t="s">
        <v>19</v>
      </c>
      <c r="B78" s="229">
        <v>42</v>
      </c>
      <c r="C78" s="230" t="s">
        <v>199</v>
      </c>
      <c r="D78" s="414"/>
      <c r="E78" s="231" t="s">
        <v>26</v>
      </c>
      <c r="F78" s="232" t="s">
        <v>201</v>
      </c>
      <c r="G78" s="426"/>
      <c r="H78" s="414"/>
      <c r="I78" s="289"/>
      <c r="J78" s="290"/>
      <c r="K78" s="308"/>
      <c r="L78" s="292">
        <v>36.619999999999997</v>
      </c>
      <c r="M78" s="292">
        <v>38.14</v>
      </c>
      <c r="N78" s="292">
        <v>39.6</v>
      </c>
      <c r="O78" s="292">
        <v>40.94</v>
      </c>
      <c r="P78" s="292">
        <v>42.18</v>
      </c>
      <c r="Q78" s="292">
        <v>43.22</v>
      </c>
      <c r="R78" s="292">
        <v>44.55</v>
      </c>
      <c r="S78" s="292">
        <v>45.83</v>
      </c>
      <c r="T78" s="292">
        <v>47.04</v>
      </c>
      <c r="U78" s="292">
        <v>48.72</v>
      </c>
      <c r="V78" s="292">
        <v>1</v>
      </c>
      <c r="W78" s="233">
        <f>M78-L78</f>
        <v>1.5200000000000031</v>
      </c>
      <c r="X78" s="233">
        <f t="shared" si="28"/>
        <v>1.4600000000000009</v>
      </c>
      <c r="Y78" s="233">
        <f t="shared" si="29"/>
        <v>1.240000000000002</v>
      </c>
      <c r="Z78" s="309">
        <f t="shared" si="30"/>
        <v>1.0399999999999991</v>
      </c>
      <c r="AA78" s="382">
        <f t="shared" si="26"/>
        <v>1.3299999999999983</v>
      </c>
      <c r="AB78" s="382">
        <f t="shared" si="27"/>
        <v>1.2800000000000011</v>
      </c>
      <c r="AC78" s="309">
        <f t="shared" si="23"/>
        <v>1.2100000000000009</v>
      </c>
      <c r="AD78" s="309">
        <f t="shared" si="24"/>
        <v>1.6799999999999997</v>
      </c>
      <c r="AE78" s="385">
        <f>AE76</f>
        <v>129.63999999999999</v>
      </c>
      <c r="AF78" s="316">
        <f t="shared" si="25"/>
        <v>217.79519999999994</v>
      </c>
    </row>
    <row r="79" spans="1:43" ht="14.45" customHeight="1" thickBot="1" x14ac:dyDescent="0.25">
      <c r="A79" s="182" t="s">
        <v>19</v>
      </c>
      <c r="B79" s="229">
        <v>42</v>
      </c>
      <c r="C79" s="230" t="s">
        <v>199</v>
      </c>
      <c r="D79" s="414"/>
      <c r="E79" s="231" t="s">
        <v>204</v>
      </c>
      <c r="F79" s="232" t="s">
        <v>201</v>
      </c>
      <c r="G79" s="426"/>
      <c r="H79" s="414"/>
      <c r="I79" s="289"/>
      <c r="J79" s="290"/>
      <c r="K79" s="308"/>
      <c r="L79" s="292" t="s">
        <v>43</v>
      </c>
      <c r="M79" s="292" t="s">
        <v>43</v>
      </c>
      <c r="N79" s="292"/>
      <c r="O79" s="292"/>
      <c r="P79" s="292"/>
      <c r="Q79" s="292"/>
      <c r="R79" s="292"/>
      <c r="S79" s="292" t="s">
        <v>43</v>
      </c>
      <c r="T79" s="292" t="s">
        <v>43</v>
      </c>
      <c r="U79" s="292"/>
      <c r="V79" s="292" t="s">
        <v>43</v>
      </c>
      <c r="W79" s="233" t="s">
        <v>43</v>
      </c>
      <c r="X79" s="233"/>
      <c r="Y79" s="233"/>
      <c r="Z79" s="309">
        <f t="shared" si="30"/>
        <v>0</v>
      </c>
      <c r="AA79" s="382">
        <f t="shared" si="26"/>
        <v>0</v>
      </c>
      <c r="AB79" s="382" t="e">
        <f t="shared" si="27"/>
        <v>#VALUE!</v>
      </c>
      <c r="AC79" s="309" t="s">
        <v>43</v>
      </c>
      <c r="AD79" s="309">
        <v>2000</v>
      </c>
      <c r="AE79" s="385" t="s">
        <v>43</v>
      </c>
      <c r="AF79" s="316">
        <v>2000</v>
      </c>
    </row>
    <row r="80" spans="1:43" ht="14.45" customHeight="1" thickBot="1" x14ac:dyDescent="0.25">
      <c r="A80" s="182" t="s">
        <v>19</v>
      </c>
      <c r="B80" s="229">
        <v>42</v>
      </c>
      <c r="C80" s="230" t="s">
        <v>199</v>
      </c>
      <c r="D80" s="231" t="s">
        <v>205</v>
      </c>
      <c r="E80" s="231" t="s">
        <v>23</v>
      </c>
      <c r="F80" s="232" t="s">
        <v>206</v>
      </c>
      <c r="G80" s="235">
        <v>14.2</v>
      </c>
      <c r="H80" s="231" t="s">
        <v>207</v>
      </c>
      <c r="I80" s="289">
        <v>44827</v>
      </c>
      <c r="J80" s="290" t="s">
        <v>208</v>
      </c>
      <c r="K80" s="308"/>
      <c r="L80" s="292">
        <v>38458.699999999997</v>
      </c>
      <c r="M80" s="292">
        <v>39892.300000000003</v>
      </c>
      <c r="N80" s="292">
        <v>41225</v>
      </c>
      <c r="O80" s="292">
        <v>42574.6</v>
      </c>
      <c r="P80" s="292">
        <v>44037.1</v>
      </c>
      <c r="Q80" s="292">
        <v>45467.6</v>
      </c>
      <c r="R80" s="292">
        <v>46742.2</v>
      </c>
      <c r="S80" s="292">
        <v>47874.9</v>
      </c>
      <c r="T80" s="292">
        <v>48575.3</v>
      </c>
      <c r="U80" s="292">
        <v>48968.4</v>
      </c>
      <c r="V80" s="292">
        <v>1</v>
      </c>
      <c r="W80" s="233">
        <f t="shared" ref="W80:X84" si="34">M80-L80</f>
        <v>1433.6000000000058</v>
      </c>
      <c r="X80" s="233">
        <f t="shared" si="34"/>
        <v>1332.6999999999971</v>
      </c>
      <c r="Y80" s="233">
        <f t="shared" si="29"/>
        <v>1462.5</v>
      </c>
      <c r="Z80" s="309">
        <f t="shared" si="30"/>
        <v>1430.5</v>
      </c>
      <c r="AA80" s="382">
        <f t="shared" si="26"/>
        <v>1274.5999999999985</v>
      </c>
      <c r="AB80" s="382">
        <f t="shared" si="27"/>
        <v>1132.7000000000044</v>
      </c>
      <c r="AC80" s="309">
        <f t="shared" si="23"/>
        <v>700.40000000000146</v>
      </c>
      <c r="AD80" s="309">
        <f t="shared" si="24"/>
        <v>393.09999999999854</v>
      </c>
      <c r="AE80" s="385">
        <f>AE77</f>
        <v>13.537559999999999</v>
      </c>
      <c r="AF80" s="316">
        <f t="shared" si="25"/>
        <v>5321.6148359999797</v>
      </c>
    </row>
    <row r="81" spans="1:34" ht="14.45" customHeight="1" thickBot="1" x14ac:dyDescent="0.25">
      <c r="A81" s="182" t="s">
        <v>19</v>
      </c>
      <c r="B81" s="229">
        <v>42</v>
      </c>
      <c r="C81" s="230" t="s">
        <v>199</v>
      </c>
      <c r="D81" s="414" t="s">
        <v>205</v>
      </c>
      <c r="E81" s="231" t="s">
        <v>23</v>
      </c>
      <c r="F81" s="232" t="s">
        <v>206</v>
      </c>
      <c r="G81" s="423">
        <v>14.2</v>
      </c>
      <c r="H81" s="414" t="s">
        <v>209</v>
      </c>
      <c r="I81" s="289">
        <v>45282</v>
      </c>
      <c r="J81" s="290" t="s">
        <v>210</v>
      </c>
      <c r="K81" s="413"/>
      <c r="L81" s="292">
        <v>6162.3</v>
      </c>
      <c r="M81" s="292">
        <v>6482.7</v>
      </c>
      <c r="N81" s="292">
        <v>6777.9</v>
      </c>
      <c r="O81" s="292">
        <v>7087.5</v>
      </c>
      <c r="P81" s="292">
        <v>7451.8</v>
      </c>
      <c r="Q81" s="292">
        <v>7886</v>
      </c>
      <c r="R81" s="292">
        <v>8300.6</v>
      </c>
      <c r="S81" s="292">
        <v>8667.7999999999993</v>
      </c>
      <c r="T81" s="292">
        <v>8957.4</v>
      </c>
      <c r="U81" s="292">
        <v>9125.5</v>
      </c>
      <c r="V81" s="292">
        <v>1</v>
      </c>
      <c r="W81" s="233">
        <f t="shared" si="34"/>
        <v>320.39999999999964</v>
      </c>
      <c r="X81" s="233">
        <f t="shared" si="34"/>
        <v>295.19999999999982</v>
      </c>
      <c r="Y81" s="233">
        <f t="shared" si="29"/>
        <v>364.30000000000018</v>
      </c>
      <c r="Z81" s="309">
        <f t="shared" si="30"/>
        <v>434.19999999999982</v>
      </c>
      <c r="AA81" s="382">
        <f t="shared" si="26"/>
        <v>414.60000000000036</v>
      </c>
      <c r="AB81" s="382">
        <f t="shared" si="27"/>
        <v>367.19999999999891</v>
      </c>
      <c r="AC81" s="309">
        <f t="shared" si="23"/>
        <v>289.60000000000036</v>
      </c>
      <c r="AD81" s="309">
        <f t="shared" si="24"/>
        <v>168.10000000000036</v>
      </c>
      <c r="AE81" s="385">
        <f>AE77</f>
        <v>13.537559999999999</v>
      </c>
      <c r="AF81" s="316">
        <f t="shared" si="25"/>
        <v>2275.6638360000047</v>
      </c>
    </row>
    <row r="82" spans="1:34" ht="14.45" customHeight="1" thickBot="1" x14ac:dyDescent="0.25">
      <c r="A82" s="182" t="s">
        <v>19</v>
      </c>
      <c r="B82" s="229">
        <v>42</v>
      </c>
      <c r="C82" s="230" t="s">
        <v>199</v>
      </c>
      <c r="D82" s="414"/>
      <c r="E82" s="231" t="s">
        <v>26</v>
      </c>
      <c r="F82" s="232"/>
      <c r="G82" s="423"/>
      <c r="H82" s="414"/>
      <c r="I82" s="289"/>
      <c r="J82" s="290"/>
      <c r="K82" s="413"/>
      <c r="L82" s="292">
        <v>55.62</v>
      </c>
      <c r="M82" s="292">
        <v>58.38</v>
      </c>
      <c r="N82" s="292">
        <v>59.94</v>
      </c>
      <c r="O82" s="292">
        <v>61.68</v>
      </c>
      <c r="P82" s="292">
        <v>63.4</v>
      </c>
      <c r="Q82" s="292">
        <v>64.98</v>
      </c>
      <c r="R82" s="292">
        <v>66.540000000000006</v>
      </c>
      <c r="S82" s="292">
        <v>68.400000000000006</v>
      </c>
      <c r="T82" s="292">
        <v>70.25</v>
      </c>
      <c r="U82" s="292">
        <v>71.91</v>
      </c>
      <c r="V82" s="292">
        <v>1</v>
      </c>
      <c r="W82" s="233">
        <f t="shared" si="34"/>
        <v>2.7600000000000051</v>
      </c>
      <c r="X82" s="233">
        <f t="shared" si="34"/>
        <v>1.5599999999999952</v>
      </c>
      <c r="Y82" s="233">
        <f t="shared" si="29"/>
        <v>1.7199999999999989</v>
      </c>
      <c r="Z82" s="309">
        <f t="shared" si="30"/>
        <v>1.5800000000000054</v>
      </c>
      <c r="AA82" s="382">
        <f t="shared" si="26"/>
        <v>1.5600000000000023</v>
      </c>
      <c r="AB82" s="382">
        <f t="shared" si="27"/>
        <v>1.8599999999999994</v>
      </c>
      <c r="AC82" s="309">
        <f t="shared" si="23"/>
        <v>1.8499999999999943</v>
      </c>
      <c r="AD82" s="309">
        <f t="shared" si="24"/>
        <v>1.6599999999999966</v>
      </c>
      <c r="AE82" s="385">
        <f>AE76</f>
        <v>129.63999999999999</v>
      </c>
      <c r="AF82" s="316">
        <f t="shared" si="25"/>
        <v>215.20239999999953</v>
      </c>
    </row>
    <row r="83" spans="1:34" ht="15" customHeight="1" thickBot="1" x14ac:dyDescent="0.25">
      <c r="A83" s="182" t="s">
        <v>19</v>
      </c>
      <c r="B83" s="329">
        <v>42</v>
      </c>
      <c r="C83" s="237" t="s">
        <v>199</v>
      </c>
      <c r="D83" s="345" t="s">
        <v>205</v>
      </c>
      <c r="E83" s="345" t="s">
        <v>26</v>
      </c>
      <c r="F83" s="330" t="s">
        <v>206</v>
      </c>
      <c r="G83" s="240">
        <v>14</v>
      </c>
      <c r="H83" s="200" t="s">
        <v>211</v>
      </c>
      <c r="I83" s="269">
        <v>45366</v>
      </c>
      <c r="J83" s="357" t="s">
        <v>212</v>
      </c>
      <c r="K83" s="365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>
        <v>1</v>
      </c>
      <c r="W83" s="310">
        <f t="shared" si="34"/>
        <v>0</v>
      </c>
      <c r="X83" s="310">
        <f t="shared" si="34"/>
        <v>0</v>
      </c>
      <c r="Y83" s="310">
        <f t="shared" si="29"/>
        <v>0</v>
      </c>
      <c r="Z83" s="309">
        <f t="shared" si="30"/>
        <v>0</v>
      </c>
      <c r="AA83" s="382">
        <f t="shared" si="26"/>
        <v>0</v>
      </c>
      <c r="AB83" s="382">
        <f t="shared" si="27"/>
        <v>0</v>
      </c>
      <c r="AC83" s="309">
        <f t="shared" si="23"/>
        <v>0</v>
      </c>
      <c r="AD83" s="309">
        <f t="shared" si="24"/>
        <v>0</v>
      </c>
      <c r="AE83" s="392"/>
      <c r="AF83" s="316">
        <f t="shared" si="25"/>
        <v>0</v>
      </c>
    </row>
    <row r="84" spans="1:34" ht="13.5" thickBot="1" x14ac:dyDescent="0.25">
      <c r="A84" s="182" t="s">
        <v>19</v>
      </c>
      <c r="B84" s="346">
        <v>43</v>
      </c>
      <c r="C84" s="347" t="s">
        <v>213</v>
      </c>
      <c r="D84" s="348" t="s">
        <v>214</v>
      </c>
      <c r="E84" s="348" t="s">
        <v>23</v>
      </c>
      <c r="F84" s="348">
        <v>3001124330</v>
      </c>
      <c r="G84" s="349">
        <v>1</v>
      </c>
      <c r="H84" s="348" t="s">
        <v>41</v>
      </c>
      <c r="I84" s="366">
        <v>45641</v>
      </c>
      <c r="J84" s="367" t="s">
        <v>215</v>
      </c>
      <c r="K84" s="368"/>
      <c r="L84" s="369">
        <v>272</v>
      </c>
      <c r="M84" s="369">
        <v>361.8</v>
      </c>
      <c r="N84" s="369">
        <v>457.4</v>
      </c>
      <c r="O84" s="369">
        <v>556.4</v>
      </c>
      <c r="P84" s="369">
        <v>656</v>
      </c>
      <c r="Q84" s="369">
        <v>754</v>
      </c>
      <c r="R84" s="369">
        <v>858.1</v>
      </c>
      <c r="S84" s="369">
        <v>959</v>
      </c>
      <c r="T84" s="369">
        <v>1062.8</v>
      </c>
      <c r="U84" s="369">
        <v>1150</v>
      </c>
      <c r="V84" s="369">
        <v>1</v>
      </c>
      <c r="W84" s="377">
        <f t="shared" si="34"/>
        <v>89.800000000000011</v>
      </c>
      <c r="X84" s="377">
        <f t="shared" si="34"/>
        <v>95.599999999999966</v>
      </c>
      <c r="Y84" s="309">
        <f t="shared" si="29"/>
        <v>99.600000000000023</v>
      </c>
      <c r="Z84" s="309">
        <f t="shared" si="30"/>
        <v>98</v>
      </c>
      <c r="AA84" s="382">
        <f t="shared" si="26"/>
        <v>104.10000000000002</v>
      </c>
      <c r="AB84" s="382">
        <f t="shared" si="27"/>
        <v>100.89999999999998</v>
      </c>
      <c r="AC84" s="309">
        <f t="shared" si="23"/>
        <v>103.79999999999995</v>
      </c>
      <c r="AD84" s="309">
        <f t="shared" si="24"/>
        <v>87.200000000000045</v>
      </c>
      <c r="AE84" s="393">
        <v>15.8</v>
      </c>
      <c r="AF84" s="316">
        <f t="shared" si="25"/>
        <v>1377.7600000000007</v>
      </c>
    </row>
    <row r="85" spans="1:34" ht="13.5" thickBot="1" x14ac:dyDescent="0.25">
      <c r="A85" s="182" t="s">
        <v>216</v>
      </c>
      <c r="B85" s="350" t="s">
        <v>217</v>
      </c>
      <c r="C85" s="351" t="s">
        <v>218</v>
      </c>
      <c r="D85" s="352" t="s">
        <v>219</v>
      </c>
      <c r="E85" s="352" t="s">
        <v>23</v>
      </c>
      <c r="F85" s="352">
        <v>35791225</v>
      </c>
      <c r="G85" s="353"/>
      <c r="H85" s="352" t="s">
        <v>41</v>
      </c>
      <c r="I85" s="370"/>
      <c r="J85" s="371"/>
      <c r="K85" s="372"/>
      <c r="L85" s="373"/>
      <c r="M85" s="373"/>
      <c r="N85" s="373"/>
      <c r="O85" s="373"/>
      <c r="P85" s="373">
        <v>14301.5</v>
      </c>
      <c r="Q85" s="373">
        <v>14355</v>
      </c>
      <c r="R85" s="373">
        <v>14462</v>
      </c>
      <c r="S85" s="373">
        <v>14515</v>
      </c>
      <c r="T85" s="378">
        <v>14603.7</v>
      </c>
      <c r="U85" s="378">
        <v>14725.8</v>
      </c>
      <c r="V85" s="373">
        <v>1</v>
      </c>
      <c r="W85" s="379"/>
      <c r="X85" s="379"/>
      <c r="Y85" s="379"/>
      <c r="Z85" s="377">
        <f t="shared" si="30"/>
        <v>53.5</v>
      </c>
      <c r="AA85" s="394">
        <f t="shared" si="26"/>
        <v>107</v>
      </c>
      <c r="AB85" s="382">
        <f t="shared" si="27"/>
        <v>53</v>
      </c>
      <c r="AC85" s="309">
        <f t="shared" si="23"/>
        <v>88.700000000000728</v>
      </c>
      <c r="AD85" s="309">
        <f t="shared" si="24"/>
        <v>122.09999999999854</v>
      </c>
      <c r="AE85" s="395">
        <v>13.419192000000001</v>
      </c>
      <c r="AF85" s="316">
        <f t="shared" si="25"/>
        <v>1638.4833431999805</v>
      </c>
      <c r="AH85" s="188">
        <f>1.2*11.18266</f>
        <v>13.419192000000001</v>
      </c>
    </row>
    <row r="86" spans="1:34" ht="12.75" x14ac:dyDescent="0.2">
      <c r="B86" s="432" t="s">
        <v>220</v>
      </c>
      <c r="C86" s="432"/>
      <c r="D86" s="354"/>
      <c r="E86" s="354"/>
      <c r="F86" s="355"/>
      <c r="G86" s="356">
        <f>SUBTOTAL(9,G3:G84)</f>
        <v>556.80000000000007</v>
      </c>
      <c r="H86" s="356"/>
      <c r="I86" s="374"/>
      <c r="J86" s="374"/>
      <c r="K86" s="356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96"/>
      <c r="AF86" s="374">
        <f>SUM(AF3:AF85)</f>
        <v>364470.40902884258</v>
      </c>
    </row>
    <row r="89" spans="1:34" ht="15" customHeight="1" x14ac:dyDescent="0.2">
      <c r="R89" s="380">
        <f>S85-R85</f>
        <v>53</v>
      </c>
    </row>
  </sheetData>
  <autoFilter ref="A2:AG85"/>
  <mergeCells count="34">
    <mergeCell ref="B86:C86"/>
    <mergeCell ref="D3:D4"/>
    <mergeCell ref="D6:D7"/>
    <mergeCell ref="D16:D17"/>
    <mergeCell ref="D20:D21"/>
    <mergeCell ref="D27:D28"/>
    <mergeCell ref="D36:D37"/>
    <mergeCell ref="D49:D50"/>
    <mergeCell ref="D68:D69"/>
    <mergeCell ref="D77:D79"/>
    <mergeCell ref="D81:D82"/>
    <mergeCell ref="G3:G4"/>
    <mergeCell ref="G6:G7"/>
    <mergeCell ref="G16:G17"/>
    <mergeCell ref="G20:G21"/>
    <mergeCell ref="G27:G28"/>
    <mergeCell ref="G36:G37"/>
    <mergeCell ref="G49:G50"/>
    <mergeCell ref="G68:G69"/>
    <mergeCell ref="G77:G79"/>
    <mergeCell ref="G81:G82"/>
    <mergeCell ref="H3:H4"/>
    <mergeCell ref="H6:H7"/>
    <mergeCell ref="H16:H17"/>
    <mergeCell ref="H20:H21"/>
    <mergeCell ref="H27:H28"/>
    <mergeCell ref="K20:K21"/>
    <mergeCell ref="K27:K28"/>
    <mergeCell ref="K81:K82"/>
    <mergeCell ref="H36:H37"/>
    <mergeCell ref="H49:H50"/>
    <mergeCell ref="H68:H69"/>
    <mergeCell ref="H77:H79"/>
    <mergeCell ref="H81:H82"/>
  </mergeCells>
  <pageMargins left="0.25" right="0.25" top="0.75" bottom="0.75" header="0.3" footer="0.3"/>
  <pageSetup paperSize="9" scale="50" fitToHeight="0" orientation="landscape"/>
  <ignoredErrors>
    <ignoredError sqref="AE20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B739"/>
  <sheetViews>
    <sheetView topLeftCell="A248" zoomScale="85" zoomScaleNormal="85" workbookViewId="0">
      <selection activeCell="L274" sqref="L274"/>
    </sheetView>
  </sheetViews>
  <sheetFormatPr defaultColWidth="14.42578125" defaultRowHeight="15" x14ac:dyDescent="0.25"/>
  <cols>
    <col min="1" max="1" width="7.28515625" style="1" customWidth="1"/>
    <col min="2" max="2" width="31.28515625" style="1" customWidth="1"/>
    <col min="3" max="3" width="24.5703125" style="1" customWidth="1"/>
    <col min="4" max="4" width="29.7109375" style="142" customWidth="1"/>
    <col min="5" max="5" width="21.5703125" style="1" customWidth="1"/>
    <col min="6" max="6" width="14.7109375" style="1" customWidth="1"/>
    <col min="7" max="7" width="13.7109375" style="1" customWidth="1"/>
    <col min="8" max="8" width="14.7109375" style="91" customWidth="1"/>
    <col min="9" max="9" width="13.7109375" style="91" customWidth="1"/>
    <col min="10" max="10" width="5.5703125" style="143" customWidth="1"/>
    <col min="11" max="11" width="14" style="91" customWidth="1"/>
    <col min="12" max="12" width="15.28515625" style="144" customWidth="1"/>
    <col min="13" max="13" width="12.85546875" style="1" customWidth="1"/>
    <col min="14" max="14" width="6.42578125" style="1" customWidth="1"/>
    <col min="15" max="15" width="18.28515625" style="1" hidden="1" customWidth="1"/>
    <col min="16" max="23" width="8.7109375" style="1" hidden="1" customWidth="1"/>
    <col min="24" max="24" width="3.42578125" style="1" customWidth="1"/>
    <col min="25" max="28" width="8.7109375" style="1" customWidth="1"/>
    <col min="29" max="16384" width="14.42578125" style="1"/>
  </cols>
  <sheetData>
    <row r="1" spans="1:28" ht="18" x14ac:dyDescent="0.3">
      <c r="A1" s="2"/>
      <c r="B1" s="2"/>
      <c r="C1" s="2"/>
      <c r="D1" s="4"/>
      <c r="E1" s="2"/>
      <c r="F1" s="2"/>
      <c r="G1" s="2"/>
      <c r="H1" s="77"/>
      <c r="I1" s="77"/>
      <c r="J1" s="163"/>
      <c r="K1" s="77"/>
      <c r="L1" s="164"/>
      <c r="M1" s="2"/>
      <c r="N1" s="2"/>
      <c r="O1" s="165" t="s">
        <v>221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8.75" x14ac:dyDescent="0.3">
      <c r="A2" s="444" t="s">
        <v>222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145"/>
      <c r="O2" s="438" t="s">
        <v>223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8.75" x14ac:dyDescent="0.3">
      <c r="A3" s="445" t="s">
        <v>224</v>
      </c>
      <c r="B3" s="445"/>
      <c r="C3" s="446" t="s">
        <v>225</v>
      </c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147"/>
      <c r="O3" s="439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8.75" x14ac:dyDescent="0.3">
      <c r="A4" s="145"/>
      <c r="B4" s="145"/>
      <c r="C4" s="145"/>
      <c r="D4" s="146"/>
      <c r="E4" s="145"/>
      <c r="F4" s="145"/>
      <c r="G4" s="145"/>
      <c r="H4" s="147"/>
      <c r="I4" s="147"/>
      <c r="J4" s="167"/>
      <c r="K4" s="147"/>
      <c r="L4" s="168" t="s">
        <v>226</v>
      </c>
      <c r="M4" s="145"/>
      <c r="N4" s="145"/>
      <c r="O4" s="43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.75" customHeight="1" x14ac:dyDescent="0.3">
      <c r="A5" s="436" t="s">
        <v>227</v>
      </c>
      <c r="B5" s="436" t="s">
        <v>228</v>
      </c>
      <c r="C5" s="436" t="s">
        <v>229</v>
      </c>
      <c r="D5" s="437" t="s">
        <v>230</v>
      </c>
      <c r="E5" s="437" t="s">
        <v>231</v>
      </c>
      <c r="F5" s="437" t="s">
        <v>232</v>
      </c>
      <c r="G5" s="437"/>
      <c r="H5" s="437"/>
      <c r="I5" s="437"/>
      <c r="J5" s="449" t="s">
        <v>9</v>
      </c>
      <c r="K5" s="449" t="s">
        <v>233</v>
      </c>
      <c r="L5" s="447" t="s">
        <v>234</v>
      </c>
      <c r="M5" s="436" t="s">
        <v>18</v>
      </c>
      <c r="N5" s="145"/>
      <c r="O5" s="43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8.75" x14ac:dyDescent="0.3">
      <c r="A6" s="436"/>
      <c r="B6" s="436"/>
      <c r="C6" s="436"/>
      <c r="D6" s="437"/>
      <c r="E6" s="437"/>
      <c r="F6" s="149" t="s">
        <v>235</v>
      </c>
      <c r="G6" s="148" t="s">
        <v>236</v>
      </c>
      <c r="H6" s="150" t="s">
        <v>235</v>
      </c>
      <c r="I6" s="167" t="s">
        <v>236</v>
      </c>
      <c r="J6" s="449"/>
      <c r="K6" s="449"/>
      <c r="L6" s="448"/>
      <c r="M6" s="437"/>
      <c r="N6" s="145"/>
      <c r="O6" s="43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8.75" x14ac:dyDescent="0.3">
      <c r="A7" s="148">
        <v>1</v>
      </c>
      <c r="B7" s="151" t="s">
        <v>237</v>
      </c>
      <c r="C7" s="152" t="s">
        <v>238</v>
      </c>
      <c r="D7" s="153" t="s">
        <v>239</v>
      </c>
      <c r="E7" s="148" t="s">
        <v>240</v>
      </c>
      <c r="F7" s="154">
        <v>45138</v>
      </c>
      <c r="G7" s="155">
        <v>59884.28</v>
      </c>
      <c r="H7" s="154">
        <v>45170</v>
      </c>
      <c r="I7" s="155">
        <v>60012.639999999999</v>
      </c>
      <c r="J7" s="150">
        <v>1</v>
      </c>
      <c r="K7" s="169">
        <f>I7-G7</f>
        <v>128.36000000000058</v>
      </c>
      <c r="L7" s="82">
        <v>6.6107629568449298</v>
      </c>
      <c r="M7" s="170">
        <f>K7*L7*J7</f>
        <v>848.55753314061906</v>
      </c>
      <c r="N7" s="171"/>
      <c r="O7" s="439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8.75" x14ac:dyDescent="0.3">
      <c r="A8" s="148"/>
      <c r="B8" s="151"/>
      <c r="C8" s="152"/>
      <c r="D8" s="153"/>
      <c r="E8" s="148"/>
      <c r="F8" s="154"/>
      <c r="G8" s="155"/>
      <c r="H8" s="154"/>
      <c r="I8" s="155"/>
      <c r="J8" s="150"/>
      <c r="K8" s="169"/>
      <c r="L8" s="82"/>
      <c r="M8" s="170"/>
      <c r="N8" s="171"/>
      <c r="O8" s="43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45" customHeight="1" x14ac:dyDescent="0.3">
      <c r="A9" s="95"/>
      <c r="B9" s="95"/>
      <c r="C9" s="95"/>
      <c r="D9" s="156"/>
      <c r="E9" s="95"/>
      <c r="F9" s="95"/>
      <c r="G9" s="95"/>
      <c r="H9" s="157"/>
      <c r="I9" s="157"/>
      <c r="J9" s="74"/>
      <c r="K9" s="157"/>
      <c r="L9" s="172" t="s">
        <v>241</v>
      </c>
      <c r="M9" s="170">
        <f>SUM(M7:M7)</f>
        <v>848.55753314061906</v>
      </c>
      <c r="N9" s="173" t="s">
        <v>242</v>
      </c>
      <c r="O9" s="44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8.75" x14ac:dyDescent="0.3">
      <c r="A10" s="444" t="s">
        <v>243</v>
      </c>
      <c r="B10" s="444"/>
      <c r="C10" s="444"/>
      <c r="D10" s="444"/>
      <c r="E10" s="444"/>
      <c r="F10" s="444"/>
      <c r="G10" s="444"/>
      <c r="H10" s="444"/>
      <c r="I10" s="444"/>
      <c r="J10" s="444"/>
      <c r="K10" s="444"/>
      <c r="L10" s="444"/>
      <c r="M10" s="444"/>
      <c r="N10" s="145"/>
      <c r="O10" s="438" t="s">
        <v>223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8.75" x14ac:dyDescent="0.3">
      <c r="A11" s="445" t="s">
        <v>224</v>
      </c>
      <c r="B11" s="445"/>
      <c r="C11" s="446" t="s">
        <v>244</v>
      </c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147"/>
      <c r="O11" s="43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8.75" x14ac:dyDescent="0.3">
      <c r="A12" s="145"/>
      <c r="B12" s="145"/>
      <c r="C12" s="145"/>
      <c r="D12" s="146"/>
      <c r="E12" s="145"/>
      <c r="F12" s="145"/>
      <c r="G12" s="145"/>
      <c r="H12" s="147"/>
      <c r="I12" s="147"/>
      <c r="J12" s="167"/>
      <c r="K12" s="147"/>
      <c r="L12" s="168"/>
      <c r="M12" s="145"/>
      <c r="N12" s="145"/>
      <c r="O12" s="43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5" customHeight="1" x14ac:dyDescent="0.3">
      <c r="A13" s="436" t="s">
        <v>227</v>
      </c>
      <c r="B13" s="436" t="s">
        <v>228</v>
      </c>
      <c r="C13" s="436" t="s">
        <v>229</v>
      </c>
      <c r="D13" s="437" t="s">
        <v>230</v>
      </c>
      <c r="E13" s="437" t="s">
        <v>231</v>
      </c>
      <c r="F13" s="437" t="s">
        <v>232</v>
      </c>
      <c r="G13" s="437"/>
      <c r="H13" s="437"/>
      <c r="I13" s="437"/>
      <c r="J13" s="449" t="s">
        <v>9</v>
      </c>
      <c r="K13" s="449" t="s">
        <v>233</v>
      </c>
      <c r="L13" s="447" t="s">
        <v>234</v>
      </c>
      <c r="M13" s="436" t="s">
        <v>18</v>
      </c>
      <c r="N13" s="145"/>
      <c r="O13" s="43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8.75" x14ac:dyDescent="0.3">
      <c r="A14" s="436"/>
      <c r="B14" s="436"/>
      <c r="C14" s="436"/>
      <c r="D14" s="437"/>
      <c r="E14" s="437"/>
      <c r="F14" s="149" t="s">
        <v>235</v>
      </c>
      <c r="G14" s="148" t="s">
        <v>236</v>
      </c>
      <c r="H14" s="150" t="s">
        <v>235</v>
      </c>
      <c r="I14" s="167" t="s">
        <v>236</v>
      </c>
      <c r="J14" s="449"/>
      <c r="K14" s="449"/>
      <c r="L14" s="448"/>
      <c r="M14" s="437"/>
      <c r="N14" s="145"/>
      <c r="O14" s="43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8.75" x14ac:dyDescent="0.3">
      <c r="A15" s="148">
        <v>1</v>
      </c>
      <c r="B15" s="151" t="s">
        <v>237</v>
      </c>
      <c r="C15" s="152" t="s">
        <v>238</v>
      </c>
      <c r="D15" s="153" t="s">
        <v>239</v>
      </c>
      <c r="E15" s="148" t="s">
        <v>240</v>
      </c>
      <c r="F15" s="154">
        <v>45170</v>
      </c>
      <c r="G15" s="155">
        <v>60012.639999999999</v>
      </c>
      <c r="H15" s="154">
        <v>45170</v>
      </c>
      <c r="I15" s="174">
        <v>61391.57</v>
      </c>
      <c r="J15" s="150">
        <v>1</v>
      </c>
      <c r="K15" s="169">
        <f>I15-G15</f>
        <v>1378.9300000000003</v>
      </c>
      <c r="L15" s="82">
        <v>6.3494518317503399</v>
      </c>
      <c r="M15" s="170">
        <f>K15*L15*J15</f>
        <v>8755.4496143554989</v>
      </c>
      <c r="N15" s="171"/>
      <c r="O15" s="43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8.75" x14ac:dyDescent="0.3">
      <c r="A16" s="148"/>
      <c r="B16" s="151"/>
      <c r="C16" s="151"/>
      <c r="D16" s="158"/>
      <c r="E16" s="148"/>
      <c r="F16" s="154"/>
      <c r="G16" s="155"/>
      <c r="H16" s="154"/>
      <c r="I16" s="162"/>
      <c r="J16" s="150"/>
      <c r="K16" s="169"/>
      <c r="L16" s="82"/>
      <c r="M16" s="170"/>
      <c r="N16" s="171"/>
      <c r="O16" s="43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8.75" x14ac:dyDescent="0.3">
      <c r="A17" s="145"/>
      <c r="B17" s="145"/>
      <c r="C17" s="145"/>
      <c r="D17" s="146"/>
      <c r="E17" s="145"/>
      <c r="F17" s="145"/>
      <c r="G17" s="145"/>
      <c r="H17" s="147"/>
      <c r="I17" s="147"/>
      <c r="J17" s="167"/>
      <c r="K17" s="147"/>
      <c r="L17" s="172" t="s">
        <v>241</v>
      </c>
      <c r="M17" s="170">
        <f>SUM(M15:M15)</f>
        <v>8755.4496143554989</v>
      </c>
      <c r="N17" s="173" t="s">
        <v>242</v>
      </c>
      <c r="O17" s="44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8.75" x14ac:dyDescent="0.3">
      <c r="A18" s="145"/>
      <c r="B18" s="145"/>
      <c r="C18" s="145"/>
      <c r="D18" s="146"/>
      <c r="E18" s="145"/>
      <c r="F18" s="145"/>
      <c r="G18" s="145"/>
      <c r="H18" s="147"/>
      <c r="I18" s="147"/>
      <c r="J18" s="167"/>
      <c r="K18" s="147"/>
      <c r="L18" s="168"/>
      <c r="M18" s="145"/>
      <c r="N18" s="145"/>
      <c r="O18" s="166" t="s">
        <v>223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8.75" x14ac:dyDescent="0.3">
      <c r="A19" s="444" t="s">
        <v>245</v>
      </c>
      <c r="B19" s="444"/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14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8.75" x14ac:dyDescent="0.3">
      <c r="A20" s="445" t="s">
        <v>224</v>
      </c>
      <c r="B20" s="445"/>
      <c r="C20" s="446" t="s">
        <v>244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14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8.75" x14ac:dyDescent="0.3">
      <c r="A21" s="145"/>
      <c r="B21" s="145"/>
      <c r="C21" s="145"/>
      <c r="D21" s="146"/>
      <c r="E21" s="145"/>
      <c r="F21" s="145"/>
      <c r="G21" s="145"/>
      <c r="H21" s="147"/>
      <c r="I21" s="147"/>
      <c r="J21" s="167"/>
      <c r="K21" s="147"/>
      <c r="L21" s="168"/>
      <c r="M21" s="145"/>
      <c r="N21" s="14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8.75" x14ac:dyDescent="0.3">
      <c r="A22" s="436" t="s">
        <v>227</v>
      </c>
      <c r="B22" s="436" t="s">
        <v>228</v>
      </c>
      <c r="C22" s="436" t="s">
        <v>229</v>
      </c>
      <c r="D22" s="437" t="s">
        <v>230</v>
      </c>
      <c r="E22" s="437" t="s">
        <v>231</v>
      </c>
      <c r="F22" s="437" t="s">
        <v>232</v>
      </c>
      <c r="G22" s="437"/>
      <c r="H22" s="437"/>
      <c r="I22" s="437"/>
      <c r="J22" s="449" t="s">
        <v>9</v>
      </c>
      <c r="K22" s="449" t="s">
        <v>233</v>
      </c>
      <c r="L22" s="447" t="s">
        <v>234</v>
      </c>
      <c r="M22" s="436" t="s">
        <v>18</v>
      </c>
      <c r="N22" s="14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8.75" x14ac:dyDescent="0.3">
      <c r="A23" s="436"/>
      <c r="B23" s="436"/>
      <c r="C23" s="436"/>
      <c r="D23" s="437"/>
      <c r="E23" s="437"/>
      <c r="F23" s="149" t="s">
        <v>235</v>
      </c>
      <c r="G23" s="148" t="s">
        <v>236</v>
      </c>
      <c r="H23" s="150" t="s">
        <v>235</v>
      </c>
      <c r="I23" s="167" t="s">
        <v>236</v>
      </c>
      <c r="J23" s="449"/>
      <c r="K23" s="449"/>
      <c r="L23" s="448"/>
      <c r="M23" s="437"/>
      <c r="N23" s="14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8.75" x14ac:dyDescent="0.3">
      <c r="A24" s="148">
        <v>1</v>
      </c>
      <c r="B24" s="151" t="s">
        <v>237</v>
      </c>
      <c r="C24" s="152" t="s">
        <v>238</v>
      </c>
      <c r="D24" s="153" t="s">
        <v>239</v>
      </c>
      <c r="E24" s="148" t="s">
        <v>240</v>
      </c>
      <c r="F24" s="154">
        <v>45170</v>
      </c>
      <c r="G24" s="155">
        <v>61391.57</v>
      </c>
      <c r="H24" s="159">
        <v>45230</v>
      </c>
      <c r="I24" s="160">
        <v>62937.75</v>
      </c>
      <c r="J24" s="175">
        <v>1</v>
      </c>
      <c r="K24" s="169">
        <f>I24-G24</f>
        <v>1546.1800000000003</v>
      </c>
      <c r="L24" s="82">
        <v>6.2594399999999997</v>
      </c>
      <c r="M24" s="170">
        <f>K24*L24*J24</f>
        <v>9678.2209392000004</v>
      </c>
      <c r="N24" s="17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8.75" x14ac:dyDescent="0.3">
      <c r="A25" s="148"/>
      <c r="B25" s="151"/>
      <c r="C25" s="151"/>
      <c r="D25" s="158"/>
      <c r="E25" s="148"/>
      <c r="F25" s="154"/>
      <c r="G25" s="155"/>
      <c r="H25" s="154"/>
      <c r="I25" s="162"/>
      <c r="J25" s="150"/>
      <c r="K25" s="169"/>
      <c r="L25" s="82"/>
      <c r="M25" s="170"/>
      <c r="N25" s="17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8.75" x14ac:dyDescent="0.3">
      <c r="A26" s="145"/>
      <c r="B26" s="145"/>
      <c r="C26" s="145"/>
      <c r="D26" s="146"/>
      <c r="E26" s="145"/>
      <c r="F26" s="145"/>
      <c r="G26" s="145"/>
      <c r="H26" s="147"/>
      <c r="I26" s="147"/>
      <c r="J26" s="167"/>
      <c r="K26" s="147"/>
      <c r="L26" s="172" t="s">
        <v>241</v>
      </c>
      <c r="M26" s="170">
        <f>SUM(M24:M24)</f>
        <v>9678.2209392000004</v>
      </c>
      <c r="N26" s="173" t="s">
        <v>242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8.75" x14ac:dyDescent="0.3">
      <c r="A27" s="145"/>
      <c r="B27" s="145"/>
      <c r="C27" s="145"/>
      <c r="D27" s="146"/>
      <c r="E27" s="145"/>
      <c r="F27" s="145"/>
      <c r="G27" s="145"/>
      <c r="H27" s="147"/>
      <c r="I27" s="147"/>
      <c r="J27" s="167"/>
      <c r="K27" s="147"/>
      <c r="L27" s="168"/>
      <c r="M27" s="145"/>
      <c r="N27" s="14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8.75" x14ac:dyDescent="0.3">
      <c r="A28" s="444" t="s">
        <v>246</v>
      </c>
      <c r="B28" s="444"/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4"/>
      <c r="N28" s="14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8.75" x14ac:dyDescent="0.3">
      <c r="A29" s="445" t="s">
        <v>224</v>
      </c>
      <c r="B29" s="445"/>
      <c r="C29" s="446" t="s">
        <v>244</v>
      </c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14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8.75" x14ac:dyDescent="0.3">
      <c r="A30" s="145"/>
      <c r="B30" s="145"/>
      <c r="C30" s="145"/>
      <c r="D30" s="146"/>
      <c r="E30" s="145"/>
      <c r="F30" s="145"/>
      <c r="G30" s="145"/>
      <c r="H30" s="147"/>
      <c r="I30" s="147"/>
      <c r="J30" s="167"/>
      <c r="K30" s="147"/>
      <c r="L30" s="168"/>
      <c r="M30" s="145"/>
      <c r="N30" s="14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8.75" x14ac:dyDescent="0.3">
      <c r="A31" s="436" t="s">
        <v>227</v>
      </c>
      <c r="B31" s="436" t="s">
        <v>228</v>
      </c>
      <c r="C31" s="436" t="s">
        <v>229</v>
      </c>
      <c r="D31" s="437" t="s">
        <v>230</v>
      </c>
      <c r="E31" s="437" t="s">
        <v>231</v>
      </c>
      <c r="F31" s="437" t="s">
        <v>232</v>
      </c>
      <c r="G31" s="437"/>
      <c r="H31" s="437"/>
      <c r="I31" s="437"/>
      <c r="J31" s="449" t="s">
        <v>9</v>
      </c>
      <c r="K31" s="449" t="s">
        <v>233</v>
      </c>
      <c r="L31" s="447" t="s">
        <v>234</v>
      </c>
      <c r="M31" s="436" t="s">
        <v>18</v>
      </c>
      <c r="N31" s="14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8.75" x14ac:dyDescent="0.3">
      <c r="A32" s="436"/>
      <c r="B32" s="436"/>
      <c r="C32" s="436"/>
      <c r="D32" s="437"/>
      <c r="E32" s="437"/>
      <c r="F32" s="149" t="s">
        <v>235</v>
      </c>
      <c r="G32" s="148" t="s">
        <v>236</v>
      </c>
      <c r="H32" s="150" t="s">
        <v>235</v>
      </c>
      <c r="I32" s="167" t="s">
        <v>236</v>
      </c>
      <c r="J32" s="449"/>
      <c r="K32" s="449"/>
      <c r="L32" s="448"/>
      <c r="M32" s="437"/>
      <c r="N32" s="14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8.75" x14ac:dyDescent="0.3">
      <c r="A33" s="148">
        <v>1</v>
      </c>
      <c r="B33" s="151" t="s">
        <v>237</v>
      </c>
      <c r="C33" s="152" t="s">
        <v>238</v>
      </c>
      <c r="D33" s="153" t="s">
        <v>239</v>
      </c>
      <c r="E33" s="148" t="s">
        <v>240</v>
      </c>
      <c r="F33" s="159">
        <v>45230</v>
      </c>
      <c r="G33" s="160">
        <v>62937.75</v>
      </c>
      <c r="H33" s="159">
        <v>45260</v>
      </c>
      <c r="I33" s="161">
        <v>64806.42</v>
      </c>
      <c r="J33" s="175">
        <v>1</v>
      </c>
      <c r="K33" s="169">
        <f>I33-G33</f>
        <v>1868.6699999999983</v>
      </c>
      <c r="L33" s="82">
        <v>6.7596598420590803</v>
      </c>
      <c r="M33" s="170">
        <f>K33*L33*J33</f>
        <v>12631.57355706053</v>
      </c>
      <c r="N33" s="17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8.75" x14ac:dyDescent="0.3">
      <c r="A34" s="148"/>
      <c r="B34" s="151"/>
      <c r="C34" s="151"/>
      <c r="D34" s="158"/>
      <c r="E34" s="148"/>
      <c r="F34" s="154"/>
      <c r="G34" s="155"/>
      <c r="H34" s="154"/>
      <c r="I34" s="162"/>
      <c r="J34" s="150"/>
      <c r="K34" s="169"/>
      <c r="L34" s="82"/>
      <c r="M34" s="170"/>
      <c r="N34" s="17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8.75" x14ac:dyDescent="0.3">
      <c r="A35" s="145"/>
      <c r="B35" s="145"/>
      <c r="C35" s="145"/>
      <c r="D35" s="146"/>
      <c r="E35" s="145"/>
      <c r="F35" s="145"/>
      <c r="G35" s="145"/>
      <c r="H35" s="147"/>
      <c r="I35" s="147"/>
      <c r="J35" s="167"/>
      <c r="K35" s="147"/>
      <c r="L35" s="172" t="s">
        <v>241</v>
      </c>
      <c r="M35" s="170">
        <f>SUM(M33:M33)</f>
        <v>12631.57355706053</v>
      </c>
      <c r="N35" s="173" t="s">
        <v>242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8.75" x14ac:dyDescent="0.3">
      <c r="A36" s="145"/>
      <c r="B36" s="441" t="s">
        <v>247</v>
      </c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8.75" x14ac:dyDescent="0.3">
      <c r="A37" s="444" t="s">
        <v>248</v>
      </c>
      <c r="B37" s="444"/>
      <c r="C37" s="444"/>
      <c r="D37" s="444"/>
      <c r="E37" s="444"/>
      <c r="F37" s="444"/>
      <c r="G37" s="444"/>
      <c r="H37" s="444"/>
      <c r="I37" s="444"/>
      <c r="J37" s="444"/>
      <c r="K37" s="444"/>
      <c r="L37" s="444"/>
      <c r="M37" s="444"/>
      <c r="N37" s="14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8.75" x14ac:dyDescent="0.3">
      <c r="A38" s="445" t="s">
        <v>224</v>
      </c>
      <c r="B38" s="445"/>
      <c r="C38" s="446" t="s">
        <v>244</v>
      </c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14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8.75" x14ac:dyDescent="0.3">
      <c r="A39" s="145"/>
      <c r="B39" s="145"/>
      <c r="C39" s="145"/>
      <c r="D39" s="146"/>
      <c r="E39" s="145"/>
      <c r="F39" s="145"/>
      <c r="G39" s="145"/>
      <c r="H39" s="147"/>
      <c r="I39" s="147"/>
      <c r="J39" s="167"/>
      <c r="K39" s="147"/>
      <c r="L39" s="168"/>
      <c r="M39" s="145"/>
      <c r="N39" s="145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8.75" x14ac:dyDescent="0.3">
      <c r="A40" s="436" t="s">
        <v>227</v>
      </c>
      <c r="B40" s="436" t="s">
        <v>228</v>
      </c>
      <c r="C40" s="436" t="s">
        <v>229</v>
      </c>
      <c r="D40" s="437" t="s">
        <v>230</v>
      </c>
      <c r="E40" s="437" t="s">
        <v>231</v>
      </c>
      <c r="F40" s="437" t="s">
        <v>232</v>
      </c>
      <c r="G40" s="437"/>
      <c r="H40" s="437"/>
      <c r="I40" s="437"/>
      <c r="J40" s="449" t="s">
        <v>9</v>
      </c>
      <c r="K40" s="449" t="s">
        <v>233</v>
      </c>
      <c r="L40" s="447" t="s">
        <v>234</v>
      </c>
      <c r="M40" s="436" t="s">
        <v>18</v>
      </c>
      <c r="N40" s="14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8.75" x14ac:dyDescent="0.3">
      <c r="A41" s="436"/>
      <c r="B41" s="436"/>
      <c r="C41" s="436"/>
      <c r="D41" s="437"/>
      <c r="E41" s="437"/>
      <c r="F41" s="149" t="s">
        <v>235</v>
      </c>
      <c r="G41" s="148" t="s">
        <v>236</v>
      </c>
      <c r="H41" s="150" t="s">
        <v>235</v>
      </c>
      <c r="I41" s="167" t="s">
        <v>236</v>
      </c>
      <c r="J41" s="449"/>
      <c r="K41" s="449"/>
      <c r="L41" s="448"/>
      <c r="M41" s="437"/>
      <c r="N41" s="1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8.75" x14ac:dyDescent="0.3">
      <c r="A42" s="148">
        <v>1</v>
      </c>
      <c r="B42" s="151" t="s">
        <v>237</v>
      </c>
      <c r="C42" s="152" t="s">
        <v>238</v>
      </c>
      <c r="D42" s="153" t="s">
        <v>239</v>
      </c>
      <c r="E42" s="148" t="s">
        <v>240</v>
      </c>
      <c r="F42" s="159">
        <v>45260</v>
      </c>
      <c r="G42" s="160">
        <v>64806.42</v>
      </c>
      <c r="H42" s="159">
        <v>45291</v>
      </c>
      <c r="I42" s="161">
        <v>67341.919999999998</v>
      </c>
      <c r="J42" s="175">
        <v>1</v>
      </c>
      <c r="K42" s="169">
        <f>I42-G42</f>
        <v>2535.5</v>
      </c>
      <c r="L42" s="82">
        <v>6.4951201692524698</v>
      </c>
      <c r="M42" s="170">
        <f>K42*L42*J42</f>
        <v>16468.377189139635</v>
      </c>
      <c r="N42" s="17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8.75" x14ac:dyDescent="0.3">
      <c r="A43" s="148"/>
      <c r="B43" s="151"/>
      <c r="C43" s="151"/>
      <c r="D43" s="158"/>
      <c r="E43" s="148"/>
      <c r="F43" s="154"/>
      <c r="G43" s="155"/>
      <c r="H43" s="154"/>
      <c r="I43" s="162"/>
      <c r="J43" s="150"/>
      <c r="K43" s="169"/>
      <c r="L43" s="82"/>
      <c r="M43" s="170"/>
      <c r="N43" s="17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8.75" x14ac:dyDescent="0.3">
      <c r="A44" s="145"/>
      <c r="B44" s="145"/>
      <c r="C44" s="145"/>
      <c r="D44" s="146"/>
      <c r="E44" s="145"/>
      <c r="F44" s="145"/>
      <c r="G44" s="145"/>
      <c r="H44" s="147"/>
      <c r="I44" s="147"/>
      <c r="J44" s="167"/>
      <c r="K44" s="147"/>
      <c r="L44" s="172" t="s">
        <v>241</v>
      </c>
      <c r="M44" s="170">
        <f>SUM(M42:M42)</f>
        <v>16468.377189139635</v>
      </c>
      <c r="N44" s="173" t="s">
        <v>242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8.75" x14ac:dyDescent="0.3">
      <c r="A45" s="145"/>
      <c r="B45" s="441"/>
      <c r="C45" s="442"/>
      <c r="D45" s="442"/>
      <c r="E45" s="442"/>
      <c r="F45" s="442"/>
      <c r="G45" s="442"/>
      <c r="H45" s="442"/>
      <c r="I45" s="442"/>
      <c r="J45" s="442"/>
      <c r="K45" s="442"/>
      <c r="L45" s="442"/>
      <c r="M45" s="442"/>
      <c r="N45" s="44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8.75" x14ac:dyDescent="0.3">
      <c r="A46" s="444" t="s">
        <v>249</v>
      </c>
      <c r="B46" s="444"/>
      <c r="C46" s="444"/>
      <c r="D46" s="444"/>
      <c r="E46" s="444"/>
      <c r="F46" s="444"/>
      <c r="G46" s="444"/>
      <c r="H46" s="444"/>
      <c r="I46" s="444"/>
      <c r="J46" s="444"/>
      <c r="K46" s="444"/>
      <c r="L46" s="444"/>
      <c r="M46" s="444"/>
      <c r="N46" s="14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8.75" x14ac:dyDescent="0.3">
      <c r="A47" s="445" t="s">
        <v>224</v>
      </c>
      <c r="B47" s="445"/>
      <c r="C47" s="446" t="s">
        <v>244</v>
      </c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14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8.75" x14ac:dyDescent="0.3">
      <c r="A48" s="145"/>
      <c r="B48" s="145"/>
      <c r="C48" s="145"/>
      <c r="D48" s="146"/>
      <c r="E48" s="145"/>
      <c r="F48" s="145"/>
      <c r="G48" s="145"/>
      <c r="H48" s="147"/>
      <c r="I48" s="147"/>
      <c r="J48" s="167"/>
      <c r="K48" s="147"/>
      <c r="L48" s="168"/>
      <c r="M48" s="145"/>
      <c r="N48" s="14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8.75" x14ac:dyDescent="0.3">
      <c r="A49" s="436" t="s">
        <v>227</v>
      </c>
      <c r="B49" s="436" t="s">
        <v>228</v>
      </c>
      <c r="C49" s="436" t="s">
        <v>229</v>
      </c>
      <c r="D49" s="437" t="s">
        <v>230</v>
      </c>
      <c r="E49" s="437" t="s">
        <v>231</v>
      </c>
      <c r="F49" s="437" t="s">
        <v>232</v>
      </c>
      <c r="G49" s="437"/>
      <c r="H49" s="437"/>
      <c r="I49" s="437"/>
      <c r="J49" s="449" t="s">
        <v>9</v>
      </c>
      <c r="K49" s="449" t="s">
        <v>233</v>
      </c>
      <c r="L49" s="447" t="s">
        <v>234</v>
      </c>
      <c r="M49" s="436" t="s">
        <v>18</v>
      </c>
      <c r="N49" s="14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8.75" x14ac:dyDescent="0.3">
      <c r="A50" s="436"/>
      <c r="B50" s="436"/>
      <c r="C50" s="436"/>
      <c r="D50" s="437"/>
      <c r="E50" s="437"/>
      <c r="F50" s="149" t="s">
        <v>235</v>
      </c>
      <c r="G50" s="148" t="s">
        <v>236</v>
      </c>
      <c r="H50" s="150" t="s">
        <v>235</v>
      </c>
      <c r="I50" s="167" t="s">
        <v>236</v>
      </c>
      <c r="J50" s="449"/>
      <c r="K50" s="449"/>
      <c r="L50" s="448"/>
      <c r="M50" s="437"/>
      <c r="N50" s="14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8.75" x14ac:dyDescent="0.3">
      <c r="A51" s="148">
        <v>1</v>
      </c>
      <c r="B51" s="151" t="s">
        <v>237</v>
      </c>
      <c r="C51" s="152" t="s">
        <v>238</v>
      </c>
      <c r="D51" s="153" t="s">
        <v>239</v>
      </c>
      <c r="E51" s="148" t="s">
        <v>240</v>
      </c>
      <c r="F51" s="159">
        <v>45291</v>
      </c>
      <c r="G51" s="161">
        <v>67341.919999999998</v>
      </c>
      <c r="H51" s="159">
        <v>45323</v>
      </c>
      <c r="I51" s="161">
        <v>70250.759999999995</v>
      </c>
      <c r="J51" s="175">
        <v>1</v>
      </c>
      <c r="K51" s="169">
        <f>I51-G51</f>
        <v>2908.8399999999965</v>
      </c>
      <c r="L51" s="82" t="e">
        <f>[2]Арендаторы!M15</f>
        <v>#REF!</v>
      </c>
      <c r="M51" s="170" t="e">
        <f>K51*L51*J51</f>
        <v>#REF!</v>
      </c>
      <c r="N51" s="17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8.75" x14ac:dyDescent="0.3">
      <c r="A52" s="148"/>
      <c r="B52" s="151"/>
      <c r="C52" s="151"/>
      <c r="D52" s="158"/>
      <c r="E52" s="148"/>
      <c r="F52" s="154"/>
      <c r="G52" s="162"/>
      <c r="H52" s="154"/>
      <c r="I52" s="162"/>
      <c r="J52" s="150"/>
      <c r="K52" s="169"/>
      <c r="L52" s="82"/>
      <c r="M52" s="170"/>
      <c r="N52" s="17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8.75" x14ac:dyDescent="0.3">
      <c r="A53" s="145"/>
      <c r="B53" s="145"/>
      <c r="C53" s="145"/>
      <c r="D53" s="146"/>
      <c r="E53" s="145"/>
      <c r="F53" s="145"/>
      <c r="G53" s="145"/>
      <c r="H53" s="147"/>
      <c r="I53" s="147"/>
      <c r="J53" s="167"/>
      <c r="K53" s="147"/>
      <c r="L53" s="172" t="s">
        <v>241</v>
      </c>
      <c r="M53" s="170" t="e">
        <f>SUM(M51:M51)</f>
        <v>#REF!</v>
      </c>
      <c r="N53" s="173" t="s">
        <v>242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8.75" x14ac:dyDescent="0.3">
      <c r="A54" s="145"/>
      <c r="B54" s="441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6.5" x14ac:dyDescent="0.3">
      <c r="A55" s="2"/>
      <c r="B55" s="2"/>
      <c r="C55" s="2"/>
      <c r="D55" s="4"/>
      <c r="E55" s="2"/>
      <c r="F55" s="2"/>
      <c r="G55" s="2"/>
      <c r="H55" s="77"/>
      <c r="I55" s="77"/>
      <c r="J55" s="163"/>
      <c r="K55" s="77"/>
      <c r="L55" s="16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8.75" x14ac:dyDescent="0.3">
      <c r="A56" s="444" t="s">
        <v>250</v>
      </c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14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8.75" x14ac:dyDescent="0.3">
      <c r="A57" s="445" t="s">
        <v>224</v>
      </c>
      <c r="B57" s="445"/>
      <c r="C57" s="446" t="s">
        <v>244</v>
      </c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1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8.75" x14ac:dyDescent="0.3">
      <c r="A58" s="145"/>
      <c r="B58" s="145"/>
      <c r="C58" s="145"/>
      <c r="D58" s="146"/>
      <c r="E58" s="145"/>
      <c r="F58" s="145"/>
      <c r="G58" s="145"/>
      <c r="H58" s="147"/>
      <c r="I58" s="147"/>
      <c r="J58" s="167"/>
      <c r="K58" s="147"/>
      <c r="L58" s="168"/>
      <c r="M58" s="145"/>
      <c r="N58" s="14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8.75" x14ac:dyDescent="0.3">
      <c r="A59" s="436" t="s">
        <v>227</v>
      </c>
      <c r="B59" s="436" t="s">
        <v>228</v>
      </c>
      <c r="C59" s="436" t="s">
        <v>229</v>
      </c>
      <c r="D59" s="437" t="s">
        <v>230</v>
      </c>
      <c r="E59" s="437" t="s">
        <v>231</v>
      </c>
      <c r="F59" s="437" t="s">
        <v>232</v>
      </c>
      <c r="G59" s="437"/>
      <c r="H59" s="437"/>
      <c r="I59" s="437"/>
      <c r="J59" s="449" t="s">
        <v>9</v>
      </c>
      <c r="K59" s="449" t="s">
        <v>233</v>
      </c>
      <c r="L59" s="447" t="s">
        <v>234</v>
      </c>
      <c r="M59" s="436" t="s">
        <v>18</v>
      </c>
      <c r="N59" s="14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8.75" x14ac:dyDescent="0.3">
      <c r="A60" s="436"/>
      <c r="B60" s="436"/>
      <c r="C60" s="436"/>
      <c r="D60" s="437"/>
      <c r="E60" s="437"/>
      <c r="F60" s="149" t="s">
        <v>235</v>
      </c>
      <c r="G60" s="148" t="s">
        <v>236</v>
      </c>
      <c r="H60" s="150" t="s">
        <v>235</v>
      </c>
      <c r="I60" s="167" t="s">
        <v>236</v>
      </c>
      <c r="J60" s="449"/>
      <c r="K60" s="449"/>
      <c r="L60" s="448"/>
      <c r="M60" s="437"/>
      <c r="N60" s="14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8.75" x14ac:dyDescent="0.3">
      <c r="A61" s="148">
        <v>1</v>
      </c>
      <c r="B61" s="151" t="s">
        <v>237</v>
      </c>
      <c r="C61" s="152" t="s">
        <v>238</v>
      </c>
      <c r="D61" s="153" t="s">
        <v>239</v>
      </c>
      <c r="E61" s="148" t="s">
        <v>240</v>
      </c>
      <c r="F61" s="159">
        <v>45323</v>
      </c>
      <c r="G61" s="161">
        <v>70250.759999999995</v>
      </c>
      <c r="H61" s="159">
        <v>45351</v>
      </c>
      <c r="I61" s="161">
        <v>72187.23</v>
      </c>
      <c r="J61" s="175">
        <v>1</v>
      </c>
      <c r="K61" s="169">
        <f>I61-G61</f>
        <v>1936.4700000000012</v>
      </c>
      <c r="L61" s="82">
        <v>5.5075803757828803</v>
      </c>
      <c r="M61" s="170">
        <f>K61*L61*J61</f>
        <v>10665.264170292281</v>
      </c>
      <c r="N61" s="17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8.75" x14ac:dyDescent="0.3">
      <c r="A62" s="148"/>
      <c r="B62" s="151"/>
      <c r="C62" s="151"/>
      <c r="D62" s="158"/>
      <c r="E62" s="148"/>
      <c r="F62" s="154"/>
      <c r="G62" s="162"/>
      <c r="H62" s="154"/>
      <c r="I62" s="162"/>
      <c r="J62" s="150"/>
      <c r="K62" s="169"/>
      <c r="L62" s="82"/>
      <c r="M62" s="170"/>
      <c r="N62" s="17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8.75" x14ac:dyDescent="0.3">
      <c r="A63" s="145"/>
      <c r="B63" s="145"/>
      <c r="C63" s="145"/>
      <c r="D63" s="146"/>
      <c r="E63" s="145"/>
      <c r="F63" s="145"/>
      <c r="G63" s="145"/>
      <c r="H63" s="147"/>
      <c r="I63" s="147"/>
      <c r="J63" s="167"/>
      <c r="K63" s="147"/>
      <c r="L63" s="172" t="s">
        <v>241</v>
      </c>
      <c r="M63" s="170">
        <f>SUM(M61:M61)</f>
        <v>10665.264170292281</v>
      </c>
      <c r="N63" s="173" t="s">
        <v>242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8.75" x14ac:dyDescent="0.3">
      <c r="A64" s="145"/>
      <c r="B64" s="441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6.5" x14ac:dyDescent="0.3">
      <c r="A65" s="2"/>
      <c r="B65" s="2"/>
      <c r="C65" s="2"/>
      <c r="D65" s="4"/>
      <c r="E65" s="2"/>
      <c r="F65" s="2"/>
      <c r="G65" s="2"/>
      <c r="H65" s="77"/>
      <c r="I65" s="77"/>
      <c r="J65" s="163"/>
      <c r="K65" s="77"/>
      <c r="L65" s="16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8.75" x14ac:dyDescent="0.3">
      <c r="A66" s="444" t="s">
        <v>251</v>
      </c>
      <c r="B66" s="444"/>
      <c r="C66" s="444"/>
      <c r="D66" s="444"/>
      <c r="E66" s="444"/>
      <c r="F66" s="444"/>
      <c r="G66" s="444"/>
      <c r="H66" s="444"/>
      <c r="I66" s="444"/>
      <c r="J66" s="444"/>
      <c r="K66" s="444"/>
      <c r="L66" s="444"/>
      <c r="M66" s="444"/>
      <c r="N66" s="14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8.75" x14ac:dyDescent="0.3">
      <c r="A67" s="445" t="s">
        <v>224</v>
      </c>
      <c r="B67" s="445"/>
      <c r="C67" s="446" t="s">
        <v>244</v>
      </c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1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8.75" x14ac:dyDescent="0.3">
      <c r="A68" s="145"/>
      <c r="B68" s="145"/>
      <c r="C68" s="145"/>
      <c r="D68" s="146"/>
      <c r="E68" s="145"/>
      <c r="F68" s="145"/>
      <c r="G68" s="145"/>
      <c r="H68" s="147"/>
      <c r="I68" s="147"/>
      <c r="J68" s="167"/>
      <c r="K68" s="147"/>
      <c r="L68" s="168"/>
      <c r="M68" s="145"/>
      <c r="N68" s="14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8.75" x14ac:dyDescent="0.3">
      <c r="A69" s="436" t="s">
        <v>227</v>
      </c>
      <c r="B69" s="436" t="s">
        <v>228</v>
      </c>
      <c r="C69" s="436" t="s">
        <v>229</v>
      </c>
      <c r="D69" s="437" t="s">
        <v>230</v>
      </c>
      <c r="E69" s="437" t="s">
        <v>231</v>
      </c>
      <c r="F69" s="437" t="s">
        <v>232</v>
      </c>
      <c r="G69" s="437"/>
      <c r="H69" s="437"/>
      <c r="I69" s="437"/>
      <c r="J69" s="449" t="s">
        <v>9</v>
      </c>
      <c r="K69" s="449" t="s">
        <v>233</v>
      </c>
      <c r="L69" s="447" t="s">
        <v>234</v>
      </c>
      <c r="M69" s="436" t="s">
        <v>18</v>
      </c>
      <c r="N69" s="14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8.75" x14ac:dyDescent="0.3">
      <c r="A70" s="436"/>
      <c r="B70" s="436"/>
      <c r="C70" s="436"/>
      <c r="D70" s="437"/>
      <c r="E70" s="437"/>
      <c r="F70" s="149" t="s">
        <v>235</v>
      </c>
      <c r="G70" s="148" t="s">
        <v>236</v>
      </c>
      <c r="H70" s="150" t="s">
        <v>235</v>
      </c>
      <c r="I70" s="167" t="s">
        <v>236</v>
      </c>
      <c r="J70" s="449"/>
      <c r="K70" s="449"/>
      <c r="L70" s="448"/>
      <c r="M70" s="437"/>
      <c r="N70" s="14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8.75" x14ac:dyDescent="0.3">
      <c r="A71" s="148">
        <v>1</v>
      </c>
      <c r="B71" s="151" t="s">
        <v>237</v>
      </c>
      <c r="C71" s="152" t="s">
        <v>238</v>
      </c>
      <c r="D71" s="153" t="s">
        <v>239</v>
      </c>
      <c r="E71" s="148" t="s">
        <v>240</v>
      </c>
      <c r="F71" s="176">
        <v>45352</v>
      </c>
      <c r="G71" s="177">
        <v>72187.23</v>
      </c>
      <c r="H71" s="176">
        <v>45351</v>
      </c>
      <c r="I71" s="177">
        <v>73951.55</v>
      </c>
      <c r="J71" s="175">
        <v>1</v>
      </c>
      <c r="K71" s="169">
        <f>I71-G71</f>
        <v>1764.320000000007</v>
      </c>
      <c r="L71" s="82">
        <v>5.5075800206682697</v>
      </c>
      <c r="M71" s="170">
        <f>K71*L71*J71</f>
        <v>9717.1335820654804</v>
      </c>
      <c r="N71" s="17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8.75" x14ac:dyDescent="0.3">
      <c r="A72" s="148"/>
      <c r="B72" s="151"/>
      <c r="C72" s="151"/>
      <c r="D72" s="158"/>
      <c r="E72" s="148"/>
      <c r="F72" s="178"/>
      <c r="G72" s="179"/>
      <c r="H72" s="178"/>
      <c r="I72" s="179"/>
      <c r="J72" s="150"/>
      <c r="K72" s="169"/>
      <c r="L72" s="82"/>
      <c r="M72" s="170"/>
      <c r="N72" s="17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8.75" x14ac:dyDescent="0.3">
      <c r="A73" s="145"/>
      <c r="B73" s="145"/>
      <c r="C73" s="145"/>
      <c r="D73" s="146"/>
      <c r="E73" s="145"/>
      <c r="F73" s="145"/>
      <c r="G73" s="145"/>
      <c r="H73" s="147"/>
      <c r="I73" s="147"/>
      <c r="J73" s="167"/>
      <c r="K73" s="147"/>
      <c r="L73" s="172" t="s">
        <v>241</v>
      </c>
      <c r="M73" s="170">
        <f>SUM(M71:M71)</f>
        <v>9717.1335820654804</v>
      </c>
      <c r="N73" s="173" t="s">
        <v>242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8.75" x14ac:dyDescent="0.3">
      <c r="A74" s="145"/>
      <c r="B74" s="441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6.5" x14ac:dyDescent="0.3">
      <c r="A75" s="2"/>
      <c r="B75" s="2"/>
      <c r="C75" s="2"/>
      <c r="D75" s="4"/>
      <c r="E75" s="2"/>
      <c r="F75" s="2"/>
      <c r="G75" s="2"/>
      <c r="H75" s="77"/>
      <c r="I75" s="77"/>
      <c r="J75" s="163"/>
      <c r="K75" s="77"/>
      <c r="L75" s="16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8.75" x14ac:dyDescent="0.3">
      <c r="A76" s="444" t="s">
        <v>252</v>
      </c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14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8.75" x14ac:dyDescent="0.3">
      <c r="A77" s="445" t="s">
        <v>224</v>
      </c>
      <c r="B77" s="445"/>
      <c r="C77" s="446" t="s">
        <v>244</v>
      </c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14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8.75" x14ac:dyDescent="0.3">
      <c r="A78" s="145"/>
      <c r="B78" s="145"/>
      <c r="C78" s="145"/>
      <c r="D78" s="146"/>
      <c r="E78" s="145"/>
      <c r="F78" s="145"/>
      <c r="G78" s="145"/>
      <c r="H78" s="147"/>
      <c r="I78" s="147"/>
      <c r="J78" s="167"/>
      <c r="K78" s="147"/>
      <c r="L78" s="168"/>
      <c r="M78" s="145"/>
      <c r="N78" s="14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8.75" x14ac:dyDescent="0.3">
      <c r="A79" s="436" t="s">
        <v>227</v>
      </c>
      <c r="B79" s="436" t="s">
        <v>228</v>
      </c>
      <c r="C79" s="436" t="s">
        <v>229</v>
      </c>
      <c r="D79" s="437" t="s">
        <v>230</v>
      </c>
      <c r="E79" s="437" t="s">
        <v>231</v>
      </c>
      <c r="F79" s="437" t="s">
        <v>232</v>
      </c>
      <c r="G79" s="437"/>
      <c r="H79" s="437"/>
      <c r="I79" s="437"/>
      <c r="J79" s="449" t="s">
        <v>9</v>
      </c>
      <c r="K79" s="449" t="s">
        <v>233</v>
      </c>
      <c r="L79" s="447" t="s">
        <v>234</v>
      </c>
      <c r="M79" s="436" t="s">
        <v>18</v>
      </c>
      <c r="N79" s="14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8.75" x14ac:dyDescent="0.3">
      <c r="A80" s="436"/>
      <c r="B80" s="436"/>
      <c r="C80" s="436"/>
      <c r="D80" s="437"/>
      <c r="E80" s="437"/>
      <c r="F80" s="149" t="s">
        <v>235</v>
      </c>
      <c r="G80" s="148" t="s">
        <v>236</v>
      </c>
      <c r="H80" s="150" t="s">
        <v>235</v>
      </c>
      <c r="I80" s="167" t="s">
        <v>236</v>
      </c>
      <c r="J80" s="449"/>
      <c r="K80" s="449"/>
      <c r="L80" s="448"/>
      <c r="M80" s="437"/>
      <c r="N80" s="14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8.75" x14ac:dyDescent="0.3">
      <c r="A81" s="148">
        <v>1</v>
      </c>
      <c r="B81" s="151" t="s">
        <v>237</v>
      </c>
      <c r="C81" s="152" t="s">
        <v>238</v>
      </c>
      <c r="D81" s="153" t="s">
        <v>239</v>
      </c>
      <c r="E81" s="148" t="s">
        <v>240</v>
      </c>
      <c r="F81" s="176">
        <v>45382</v>
      </c>
      <c r="G81" s="177">
        <v>73951.55</v>
      </c>
      <c r="H81" s="176">
        <v>45412</v>
      </c>
      <c r="I81" s="177">
        <v>75563.710000000006</v>
      </c>
      <c r="J81" s="175">
        <v>1</v>
      </c>
      <c r="K81" s="169">
        <f>I81-G81</f>
        <v>1612.1600000000035</v>
      </c>
      <c r="L81" s="82">
        <v>5.4390000000000001</v>
      </c>
      <c r="M81" s="170">
        <f>K81*L81*J81</f>
        <v>8768.5382400000199</v>
      </c>
      <c r="N81" s="17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8.75" x14ac:dyDescent="0.3">
      <c r="A82" s="148"/>
      <c r="B82" s="151"/>
      <c r="C82" s="151"/>
      <c r="D82" s="158"/>
      <c r="E82" s="148"/>
      <c r="F82" s="178"/>
      <c r="G82" s="179"/>
      <c r="H82" s="178"/>
      <c r="I82" s="179"/>
      <c r="J82" s="150"/>
      <c r="K82" s="169"/>
      <c r="L82" s="82"/>
      <c r="M82" s="170"/>
      <c r="N82" s="17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8.75" x14ac:dyDescent="0.3">
      <c r="A83" s="145"/>
      <c r="B83" s="145"/>
      <c r="C83" s="145"/>
      <c r="D83" s="146"/>
      <c r="E83" s="145"/>
      <c r="F83" s="145"/>
      <c r="G83" s="145"/>
      <c r="H83" s="147"/>
      <c r="I83" s="147"/>
      <c r="J83" s="167"/>
      <c r="K83" s="147"/>
      <c r="L83" s="172" t="s">
        <v>241</v>
      </c>
      <c r="M83" s="170">
        <f>SUM(M81:M81)</f>
        <v>8768.5382400000199</v>
      </c>
      <c r="N83" s="173" t="s">
        <v>242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8.75" x14ac:dyDescent="0.3">
      <c r="A84" s="145"/>
      <c r="B84" s="441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6.5" x14ac:dyDescent="0.3">
      <c r="A85" s="2"/>
      <c r="B85" s="2"/>
      <c r="C85" s="2"/>
      <c r="D85" s="4"/>
      <c r="E85" s="2"/>
      <c r="F85" s="2"/>
      <c r="G85" s="2"/>
      <c r="H85" s="77"/>
      <c r="I85" s="77"/>
      <c r="J85" s="163"/>
      <c r="K85" s="77"/>
      <c r="L85" s="16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8.75" x14ac:dyDescent="0.3">
      <c r="A86" s="444" t="s">
        <v>253</v>
      </c>
      <c r="B86" s="444"/>
      <c r="C86" s="444"/>
      <c r="D86" s="444"/>
      <c r="E86" s="444"/>
      <c r="F86" s="444"/>
      <c r="G86" s="444"/>
      <c r="H86" s="444"/>
      <c r="I86" s="444"/>
      <c r="J86" s="444"/>
      <c r="K86" s="444"/>
      <c r="L86" s="444"/>
      <c r="M86" s="444"/>
      <c r="N86" s="14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8.75" x14ac:dyDescent="0.3">
      <c r="A87" s="445" t="s">
        <v>224</v>
      </c>
      <c r="B87" s="445"/>
      <c r="C87" s="446" t="s">
        <v>244</v>
      </c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14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8.75" x14ac:dyDescent="0.3">
      <c r="A88" s="145"/>
      <c r="B88" s="145"/>
      <c r="C88" s="145"/>
      <c r="D88" s="146"/>
      <c r="E88" s="145"/>
      <c r="F88" s="145"/>
      <c r="G88" s="145"/>
      <c r="H88" s="147"/>
      <c r="I88" s="147"/>
      <c r="J88" s="167"/>
      <c r="K88" s="147"/>
      <c r="L88" s="168"/>
      <c r="M88" s="145"/>
      <c r="N88" s="14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8.75" x14ac:dyDescent="0.3">
      <c r="A89" s="436" t="s">
        <v>227</v>
      </c>
      <c r="B89" s="436" t="s">
        <v>228</v>
      </c>
      <c r="C89" s="436" t="s">
        <v>229</v>
      </c>
      <c r="D89" s="437" t="s">
        <v>230</v>
      </c>
      <c r="E89" s="437" t="s">
        <v>231</v>
      </c>
      <c r="F89" s="437" t="s">
        <v>232</v>
      </c>
      <c r="G89" s="437"/>
      <c r="H89" s="437"/>
      <c r="I89" s="437"/>
      <c r="J89" s="449" t="s">
        <v>9</v>
      </c>
      <c r="K89" s="449" t="s">
        <v>233</v>
      </c>
      <c r="L89" s="447" t="s">
        <v>234</v>
      </c>
      <c r="M89" s="436" t="s">
        <v>18</v>
      </c>
      <c r="N89" s="14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8.75" x14ac:dyDescent="0.3">
      <c r="A90" s="436"/>
      <c r="B90" s="436"/>
      <c r="C90" s="436"/>
      <c r="D90" s="437"/>
      <c r="E90" s="437"/>
      <c r="F90" s="149" t="s">
        <v>235</v>
      </c>
      <c r="G90" s="148" t="s">
        <v>236</v>
      </c>
      <c r="H90" s="150" t="s">
        <v>235</v>
      </c>
      <c r="I90" s="167" t="s">
        <v>236</v>
      </c>
      <c r="J90" s="449"/>
      <c r="K90" s="449"/>
      <c r="L90" s="448"/>
      <c r="M90" s="437"/>
      <c r="N90" s="14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8.75" x14ac:dyDescent="0.3">
      <c r="A91" s="148">
        <v>1</v>
      </c>
      <c r="B91" s="151" t="s">
        <v>237</v>
      </c>
      <c r="C91" s="152" t="s">
        <v>238</v>
      </c>
      <c r="D91" s="153" t="s">
        <v>239</v>
      </c>
      <c r="E91" s="148" t="s">
        <v>240</v>
      </c>
      <c r="F91" s="176">
        <v>45412</v>
      </c>
      <c r="G91" s="177">
        <v>75563.710000000006</v>
      </c>
      <c r="H91" s="176">
        <v>45443</v>
      </c>
      <c r="I91" s="177">
        <v>77387.820000000007</v>
      </c>
      <c r="J91" s="175">
        <v>1</v>
      </c>
      <c r="K91" s="169">
        <f>I91-G91</f>
        <v>1824.1100000000006</v>
      </c>
      <c r="L91" s="82">
        <v>6.4400162918770096</v>
      </c>
      <c r="M91" s="170">
        <f>K91*L91*J91</f>
        <v>11747.298118175775</v>
      </c>
      <c r="N91" s="17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8.75" x14ac:dyDescent="0.3">
      <c r="A92" s="148"/>
      <c r="B92" s="151"/>
      <c r="C92" s="151"/>
      <c r="D92" s="158"/>
      <c r="E92" s="148"/>
      <c r="F92" s="178"/>
      <c r="G92" s="179"/>
      <c r="H92" s="178"/>
      <c r="I92" s="179"/>
      <c r="J92" s="150"/>
      <c r="K92" s="169"/>
      <c r="L92" s="82"/>
      <c r="M92" s="170"/>
      <c r="N92" s="17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8.75" x14ac:dyDescent="0.3">
      <c r="A93" s="145"/>
      <c r="B93" s="145"/>
      <c r="C93" s="145"/>
      <c r="D93" s="146"/>
      <c r="E93" s="145"/>
      <c r="F93" s="145"/>
      <c r="G93" s="145"/>
      <c r="H93" s="147"/>
      <c r="I93" s="147"/>
      <c r="J93" s="167"/>
      <c r="K93" s="147"/>
      <c r="L93" s="172" t="s">
        <v>241</v>
      </c>
      <c r="M93" s="170">
        <f>SUM(M91:M91)</f>
        <v>11747.298118175775</v>
      </c>
      <c r="N93" s="173" t="s">
        <v>242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8.75" x14ac:dyDescent="0.3">
      <c r="A94" s="145"/>
      <c r="B94" s="441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6.5" x14ac:dyDescent="0.3">
      <c r="A95" s="2"/>
      <c r="B95" s="2"/>
      <c r="C95" s="2"/>
      <c r="D95" s="4"/>
      <c r="E95" s="2"/>
      <c r="F95" s="2"/>
      <c r="G95" s="2"/>
      <c r="H95" s="77"/>
      <c r="I95" s="77"/>
      <c r="J95" s="163"/>
      <c r="K95" s="77"/>
      <c r="L95" s="16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8.75" x14ac:dyDescent="0.3">
      <c r="A96" s="444" t="s">
        <v>254</v>
      </c>
      <c r="B96" s="444"/>
      <c r="C96" s="444"/>
      <c r="D96" s="444"/>
      <c r="E96" s="444"/>
      <c r="F96" s="444"/>
      <c r="G96" s="444"/>
      <c r="H96" s="444"/>
      <c r="I96" s="444"/>
      <c r="J96" s="444"/>
      <c r="K96" s="444"/>
      <c r="L96" s="444"/>
      <c r="M96" s="444"/>
      <c r="N96" s="14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8.75" x14ac:dyDescent="0.3">
      <c r="A97" s="445" t="s">
        <v>224</v>
      </c>
      <c r="B97" s="445"/>
      <c r="C97" s="446" t="s">
        <v>244</v>
      </c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14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8.75" x14ac:dyDescent="0.3">
      <c r="A98" s="145"/>
      <c r="B98" s="145"/>
      <c r="C98" s="145"/>
      <c r="D98" s="146"/>
      <c r="E98" s="145"/>
      <c r="F98" s="145"/>
      <c r="G98" s="145"/>
      <c r="H98" s="147"/>
      <c r="I98" s="147"/>
      <c r="J98" s="167"/>
      <c r="K98" s="147"/>
      <c r="L98" s="168"/>
      <c r="M98" s="145"/>
      <c r="N98" s="14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8.75" x14ac:dyDescent="0.3">
      <c r="A99" s="436" t="s">
        <v>227</v>
      </c>
      <c r="B99" s="436" t="s">
        <v>228</v>
      </c>
      <c r="C99" s="436" t="s">
        <v>229</v>
      </c>
      <c r="D99" s="437" t="s">
        <v>230</v>
      </c>
      <c r="E99" s="437" t="s">
        <v>231</v>
      </c>
      <c r="F99" s="437" t="s">
        <v>232</v>
      </c>
      <c r="G99" s="437"/>
      <c r="H99" s="437"/>
      <c r="I99" s="437"/>
      <c r="J99" s="449" t="s">
        <v>9</v>
      </c>
      <c r="K99" s="449" t="s">
        <v>233</v>
      </c>
      <c r="L99" s="447" t="s">
        <v>234</v>
      </c>
      <c r="M99" s="436" t="s">
        <v>18</v>
      </c>
      <c r="N99" s="14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8.75" x14ac:dyDescent="0.3">
      <c r="A100" s="436"/>
      <c r="B100" s="436"/>
      <c r="C100" s="436"/>
      <c r="D100" s="437"/>
      <c r="E100" s="437"/>
      <c r="F100" s="150" t="s">
        <v>235</v>
      </c>
      <c r="G100" s="167" t="s">
        <v>236</v>
      </c>
      <c r="H100" s="150" t="s">
        <v>235</v>
      </c>
      <c r="I100" s="167" t="s">
        <v>236</v>
      </c>
      <c r="J100" s="449"/>
      <c r="K100" s="449"/>
      <c r="L100" s="448"/>
      <c r="M100" s="437"/>
      <c r="N100" s="14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8.75" x14ac:dyDescent="0.3">
      <c r="A101" s="148">
        <v>1</v>
      </c>
      <c r="B101" s="151" t="s">
        <v>237</v>
      </c>
      <c r="C101" s="152" t="s">
        <v>238</v>
      </c>
      <c r="D101" s="153" t="s">
        <v>239</v>
      </c>
      <c r="E101" s="148" t="s">
        <v>240</v>
      </c>
      <c r="F101" s="176">
        <v>45443</v>
      </c>
      <c r="G101" s="177">
        <v>77387.820000000007</v>
      </c>
      <c r="H101" s="176">
        <v>45473</v>
      </c>
      <c r="I101" s="177">
        <v>79181.66</v>
      </c>
      <c r="J101" s="175">
        <v>1</v>
      </c>
      <c r="K101" s="169">
        <f>I101-G101</f>
        <v>1793.8399999999965</v>
      </c>
      <c r="L101" s="82">
        <v>7.4135396864891803</v>
      </c>
      <c r="M101" s="170">
        <f>K101*L101*J101</f>
        <v>13298.704031211726</v>
      </c>
      <c r="N101" s="17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8.75" x14ac:dyDescent="0.3">
      <c r="A102" s="148"/>
      <c r="B102" s="151"/>
      <c r="C102" s="151"/>
      <c r="D102" s="158"/>
      <c r="E102" s="148"/>
      <c r="F102" s="178"/>
      <c r="G102" s="179"/>
      <c r="H102" s="178"/>
      <c r="I102" s="179"/>
      <c r="J102" s="150"/>
      <c r="K102" s="169"/>
      <c r="L102" s="82"/>
      <c r="M102" s="170"/>
      <c r="N102" s="17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8.75" x14ac:dyDescent="0.3">
      <c r="A103" s="145"/>
      <c r="B103" s="145"/>
      <c r="C103" s="145"/>
      <c r="D103" s="146"/>
      <c r="E103" s="145"/>
      <c r="F103" s="145"/>
      <c r="G103" s="145"/>
      <c r="H103" s="147"/>
      <c r="I103" s="147"/>
      <c r="J103" s="167"/>
      <c r="K103" s="147"/>
      <c r="L103" s="172" t="s">
        <v>241</v>
      </c>
      <c r="M103" s="170">
        <f>SUM(M101:M101)</f>
        <v>13298.704031211726</v>
      </c>
      <c r="N103" s="173" t="s">
        <v>242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8.75" x14ac:dyDescent="0.3">
      <c r="A104" s="145"/>
      <c r="B104" s="441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6.5" x14ac:dyDescent="0.3">
      <c r="A105" s="2"/>
      <c r="B105" s="2"/>
      <c r="C105" s="2"/>
      <c r="D105" s="4"/>
      <c r="E105" s="2"/>
      <c r="F105" s="2"/>
      <c r="G105" s="2"/>
      <c r="H105" s="77"/>
      <c r="I105" s="77"/>
      <c r="J105" s="163"/>
      <c r="K105" s="77"/>
      <c r="L105" s="16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8.75" x14ac:dyDescent="0.3">
      <c r="A106" s="444" t="s">
        <v>255</v>
      </c>
      <c r="B106" s="444"/>
      <c r="C106" s="444"/>
      <c r="D106" s="444"/>
      <c r="E106" s="444"/>
      <c r="F106" s="444"/>
      <c r="G106" s="444"/>
      <c r="H106" s="444"/>
      <c r="I106" s="444"/>
      <c r="J106" s="444"/>
      <c r="K106" s="444"/>
      <c r="L106" s="444"/>
      <c r="M106" s="444"/>
      <c r="N106" s="14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8.75" x14ac:dyDescent="0.3">
      <c r="A107" s="445" t="s">
        <v>224</v>
      </c>
      <c r="B107" s="445"/>
      <c r="C107" s="446" t="s">
        <v>244</v>
      </c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14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8.75" x14ac:dyDescent="0.3">
      <c r="A108" s="145"/>
      <c r="B108" s="145"/>
      <c r="C108" s="145"/>
      <c r="D108" s="146"/>
      <c r="E108" s="145"/>
      <c r="F108" s="145"/>
      <c r="G108" s="145"/>
      <c r="H108" s="147"/>
      <c r="I108" s="147"/>
      <c r="J108" s="167"/>
      <c r="K108" s="147"/>
      <c r="L108" s="168"/>
      <c r="M108" s="145"/>
      <c r="N108" s="14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8.75" x14ac:dyDescent="0.3">
      <c r="A109" s="436" t="s">
        <v>227</v>
      </c>
      <c r="B109" s="436" t="s">
        <v>228</v>
      </c>
      <c r="C109" s="436" t="s">
        <v>229</v>
      </c>
      <c r="D109" s="437" t="s">
        <v>230</v>
      </c>
      <c r="E109" s="437" t="s">
        <v>231</v>
      </c>
      <c r="F109" s="437" t="s">
        <v>232</v>
      </c>
      <c r="G109" s="437"/>
      <c r="H109" s="437"/>
      <c r="I109" s="437"/>
      <c r="J109" s="449" t="s">
        <v>9</v>
      </c>
      <c r="K109" s="449" t="s">
        <v>233</v>
      </c>
      <c r="L109" s="447" t="s">
        <v>234</v>
      </c>
      <c r="M109" s="436" t="s">
        <v>18</v>
      </c>
      <c r="N109" s="14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8.75" x14ac:dyDescent="0.3">
      <c r="A110" s="436"/>
      <c r="B110" s="436"/>
      <c r="C110" s="436"/>
      <c r="D110" s="437"/>
      <c r="E110" s="437"/>
      <c r="F110" s="150" t="s">
        <v>235</v>
      </c>
      <c r="G110" s="167" t="s">
        <v>236</v>
      </c>
      <c r="H110" s="150" t="s">
        <v>235</v>
      </c>
      <c r="I110" s="167" t="s">
        <v>236</v>
      </c>
      <c r="J110" s="449"/>
      <c r="K110" s="449"/>
      <c r="L110" s="448"/>
      <c r="M110" s="437"/>
      <c r="N110" s="14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8.75" x14ac:dyDescent="0.3">
      <c r="A111" s="148">
        <v>1</v>
      </c>
      <c r="B111" s="151" t="s">
        <v>237</v>
      </c>
      <c r="C111" s="152" t="s">
        <v>238</v>
      </c>
      <c r="D111" s="153" t="s">
        <v>239</v>
      </c>
      <c r="E111" s="148" t="s">
        <v>256</v>
      </c>
      <c r="F111" s="176">
        <v>45473</v>
      </c>
      <c r="G111" s="177">
        <v>79181.66</v>
      </c>
      <c r="H111" s="176">
        <v>45504</v>
      </c>
      <c r="I111" s="177">
        <v>81837.31</v>
      </c>
      <c r="J111" s="175">
        <v>1</v>
      </c>
      <c r="K111" s="169">
        <f>I111-G111</f>
        <v>2655.6499999999942</v>
      </c>
      <c r="L111" s="82">
        <v>7.8882840028188896</v>
      </c>
      <c r="M111" s="170">
        <f>K111*L111*J111</f>
        <v>20948.521412085938</v>
      </c>
      <c r="N111" s="17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8.75" x14ac:dyDescent="0.3">
      <c r="A112" s="148"/>
      <c r="B112" s="151"/>
      <c r="C112" s="151"/>
      <c r="D112" s="158"/>
      <c r="E112" s="148"/>
      <c r="F112" s="178"/>
      <c r="G112" s="179"/>
      <c r="H112" s="178"/>
      <c r="I112" s="179"/>
      <c r="J112" s="150"/>
      <c r="K112" s="169"/>
      <c r="L112" s="82"/>
      <c r="M112" s="170"/>
      <c r="N112" s="17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8.75" x14ac:dyDescent="0.3">
      <c r="A113" s="145"/>
      <c r="B113" s="145"/>
      <c r="C113" s="145"/>
      <c r="D113" s="146"/>
      <c r="E113" s="145"/>
      <c r="F113" s="145"/>
      <c r="G113" s="145"/>
      <c r="H113" s="147"/>
      <c r="I113" s="147"/>
      <c r="J113" s="167"/>
      <c r="K113" s="147"/>
      <c r="L113" s="172" t="s">
        <v>241</v>
      </c>
      <c r="M113" s="170">
        <f>SUM(M111:M111)</f>
        <v>20948.521412085938</v>
      </c>
      <c r="N113" s="173" t="s">
        <v>242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8.75" x14ac:dyDescent="0.3">
      <c r="A114" s="145"/>
      <c r="B114" s="441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5" x14ac:dyDescent="0.3">
      <c r="A115" s="2"/>
      <c r="B115" s="2"/>
      <c r="C115" s="2"/>
      <c r="D115" s="4"/>
      <c r="E115" s="2"/>
      <c r="F115" s="2"/>
      <c r="G115" s="2"/>
      <c r="H115" s="77"/>
      <c r="I115" s="77"/>
      <c r="J115" s="163"/>
      <c r="K115" s="77"/>
      <c r="L115" s="16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8.75" x14ac:dyDescent="0.3">
      <c r="A116" s="444" t="s">
        <v>257</v>
      </c>
      <c r="B116" s="444"/>
      <c r="C116" s="444"/>
      <c r="D116" s="444"/>
      <c r="E116" s="444"/>
      <c r="F116" s="444"/>
      <c r="G116" s="444"/>
      <c r="H116" s="444"/>
      <c r="I116" s="444"/>
      <c r="J116" s="444"/>
      <c r="K116" s="444"/>
      <c r="L116" s="444"/>
      <c r="M116" s="444"/>
      <c r="N116" s="14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8.75" x14ac:dyDescent="0.3">
      <c r="A117" s="445" t="s">
        <v>224</v>
      </c>
      <c r="B117" s="445"/>
      <c r="C117" s="446" t="s">
        <v>244</v>
      </c>
      <c r="D117" s="446"/>
      <c r="E117" s="446"/>
      <c r="F117" s="446"/>
      <c r="G117" s="446"/>
      <c r="H117" s="446"/>
      <c r="I117" s="446"/>
      <c r="J117" s="446"/>
      <c r="K117" s="446"/>
      <c r="L117" s="446"/>
      <c r="M117" s="446"/>
      <c r="N117" s="14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8.75" x14ac:dyDescent="0.3">
      <c r="A118" s="145"/>
      <c r="B118" s="145"/>
      <c r="C118" s="145"/>
      <c r="D118" s="146"/>
      <c r="E118" s="145"/>
      <c r="F118" s="145"/>
      <c r="G118" s="145"/>
      <c r="H118" s="147"/>
      <c r="I118" s="147"/>
      <c r="J118" s="167"/>
      <c r="K118" s="147"/>
      <c r="L118" s="168"/>
      <c r="M118" s="145"/>
      <c r="N118" s="14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8.75" x14ac:dyDescent="0.3">
      <c r="A119" s="436" t="s">
        <v>227</v>
      </c>
      <c r="B119" s="436" t="s">
        <v>228</v>
      </c>
      <c r="C119" s="436" t="s">
        <v>229</v>
      </c>
      <c r="D119" s="437" t="s">
        <v>230</v>
      </c>
      <c r="E119" s="437" t="s">
        <v>231</v>
      </c>
      <c r="F119" s="437" t="s">
        <v>232</v>
      </c>
      <c r="G119" s="437"/>
      <c r="H119" s="437"/>
      <c r="I119" s="437"/>
      <c r="J119" s="449" t="s">
        <v>9</v>
      </c>
      <c r="K119" s="449" t="s">
        <v>233</v>
      </c>
      <c r="L119" s="447" t="s">
        <v>234</v>
      </c>
      <c r="M119" s="436" t="s">
        <v>18</v>
      </c>
      <c r="N119" s="14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8.75" x14ac:dyDescent="0.3">
      <c r="A120" s="436"/>
      <c r="B120" s="436"/>
      <c r="C120" s="436"/>
      <c r="D120" s="437"/>
      <c r="E120" s="437"/>
      <c r="F120" s="150" t="s">
        <v>235</v>
      </c>
      <c r="G120" s="167" t="s">
        <v>236</v>
      </c>
      <c r="H120" s="150" t="s">
        <v>235</v>
      </c>
      <c r="I120" s="167" t="s">
        <v>236</v>
      </c>
      <c r="J120" s="449"/>
      <c r="K120" s="449"/>
      <c r="L120" s="448"/>
      <c r="M120" s="437"/>
      <c r="N120" s="14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8.75" x14ac:dyDescent="0.3">
      <c r="A121" s="148">
        <v>1</v>
      </c>
      <c r="B121" s="151" t="s">
        <v>237</v>
      </c>
      <c r="C121" s="152" t="s">
        <v>238</v>
      </c>
      <c r="D121" s="153" t="s">
        <v>239</v>
      </c>
      <c r="E121" s="148" t="s">
        <v>256</v>
      </c>
      <c r="F121" s="176">
        <v>45504</v>
      </c>
      <c r="G121" s="177">
        <v>81837.31</v>
      </c>
      <c r="H121" s="176">
        <v>45535</v>
      </c>
      <c r="I121" s="177">
        <v>83615.850000000006</v>
      </c>
      <c r="J121" s="175">
        <v>1</v>
      </c>
      <c r="K121" s="169">
        <f>I121-G121</f>
        <v>1778.5400000000081</v>
      </c>
      <c r="L121" s="82" t="e">
        <f>[2]Арендаторы!M15</f>
        <v>#REF!</v>
      </c>
      <c r="M121" s="170" t="e">
        <f>K121*L121*J121</f>
        <v>#REF!</v>
      </c>
      <c r="N121" s="17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8.75" x14ac:dyDescent="0.3">
      <c r="A122" s="148"/>
      <c r="B122" s="151"/>
      <c r="C122" s="151"/>
      <c r="D122" s="158"/>
      <c r="E122" s="148"/>
      <c r="F122" s="178"/>
      <c r="G122" s="179"/>
      <c r="H122" s="178"/>
      <c r="I122" s="179"/>
      <c r="J122" s="150"/>
      <c r="K122" s="169"/>
      <c r="L122" s="82"/>
      <c r="M122" s="170"/>
      <c r="N122" s="17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8.75" x14ac:dyDescent="0.3">
      <c r="A123" s="145"/>
      <c r="B123" s="145"/>
      <c r="C123" s="145"/>
      <c r="D123" s="146"/>
      <c r="E123" s="145"/>
      <c r="F123" s="145"/>
      <c r="G123" s="145"/>
      <c r="H123" s="147"/>
      <c r="I123" s="147"/>
      <c r="J123" s="167"/>
      <c r="K123" s="147"/>
      <c r="L123" s="172" t="s">
        <v>241</v>
      </c>
      <c r="M123" s="170" t="e">
        <f>SUM(M121:M121)</f>
        <v>#REF!</v>
      </c>
      <c r="N123" s="173" t="s">
        <v>242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8.75" x14ac:dyDescent="0.3">
      <c r="A124" s="145"/>
      <c r="B124" s="441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 x14ac:dyDescent="0.3">
      <c r="A125" s="2"/>
      <c r="B125" s="2"/>
      <c r="C125" s="2"/>
      <c r="D125" s="4"/>
      <c r="E125" s="2"/>
      <c r="F125" s="2"/>
      <c r="G125" s="2"/>
      <c r="H125" s="77"/>
      <c r="I125" s="77"/>
      <c r="J125" s="163"/>
      <c r="K125" s="77"/>
      <c r="L125" s="16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8.75" x14ac:dyDescent="0.3">
      <c r="A126" s="444" t="s">
        <v>258</v>
      </c>
      <c r="B126" s="444"/>
      <c r="C126" s="444"/>
      <c r="D126" s="444"/>
      <c r="E126" s="444"/>
      <c r="F126" s="444"/>
      <c r="G126" s="444"/>
      <c r="H126" s="444"/>
      <c r="I126" s="444"/>
      <c r="J126" s="444"/>
      <c r="K126" s="444"/>
      <c r="L126" s="444"/>
      <c r="M126" s="444"/>
      <c r="N126" s="14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8.75" x14ac:dyDescent="0.3">
      <c r="A127" s="445" t="s">
        <v>224</v>
      </c>
      <c r="B127" s="445"/>
      <c r="C127" s="446" t="s">
        <v>244</v>
      </c>
      <c r="D127" s="446"/>
      <c r="E127" s="446"/>
      <c r="F127" s="446"/>
      <c r="G127" s="446"/>
      <c r="H127" s="446"/>
      <c r="I127" s="446"/>
      <c r="J127" s="446"/>
      <c r="K127" s="446"/>
      <c r="L127" s="446"/>
      <c r="M127" s="446"/>
      <c r="N127" s="14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8.75" x14ac:dyDescent="0.3">
      <c r="A128" s="145"/>
      <c r="B128" s="145"/>
      <c r="C128" s="145"/>
      <c r="D128" s="146"/>
      <c r="E128" s="145"/>
      <c r="F128" s="145"/>
      <c r="G128" s="145"/>
      <c r="H128" s="147"/>
      <c r="I128" s="147"/>
      <c r="J128" s="167"/>
      <c r="K128" s="147"/>
      <c r="L128" s="168"/>
      <c r="M128" s="145"/>
      <c r="N128" s="14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8.75" x14ac:dyDescent="0.3">
      <c r="A129" s="436" t="s">
        <v>227</v>
      </c>
      <c r="B129" s="436" t="s">
        <v>228</v>
      </c>
      <c r="C129" s="436" t="s">
        <v>229</v>
      </c>
      <c r="D129" s="437" t="s">
        <v>230</v>
      </c>
      <c r="E129" s="437" t="s">
        <v>231</v>
      </c>
      <c r="F129" s="437" t="s">
        <v>232</v>
      </c>
      <c r="G129" s="437"/>
      <c r="H129" s="437"/>
      <c r="I129" s="437"/>
      <c r="J129" s="449" t="s">
        <v>9</v>
      </c>
      <c r="K129" s="449" t="s">
        <v>233</v>
      </c>
      <c r="L129" s="447" t="s">
        <v>234</v>
      </c>
      <c r="M129" s="436" t="s">
        <v>18</v>
      </c>
      <c r="N129" s="14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8.75" x14ac:dyDescent="0.3">
      <c r="A130" s="436"/>
      <c r="B130" s="436"/>
      <c r="C130" s="436"/>
      <c r="D130" s="437"/>
      <c r="E130" s="437"/>
      <c r="F130" s="150" t="s">
        <v>235</v>
      </c>
      <c r="G130" s="167" t="s">
        <v>236</v>
      </c>
      <c r="H130" s="150" t="s">
        <v>235</v>
      </c>
      <c r="I130" s="167" t="s">
        <v>236</v>
      </c>
      <c r="J130" s="449"/>
      <c r="K130" s="449"/>
      <c r="L130" s="448"/>
      <c r="M130" s="437"/>
      <c r="N130" s="14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8.75" x14ac:dyDescent="0.3">
      <c r="A131" s="148">
        <v>1</v>
      </c>
      <c r="B131" s="151" t="s">
        <v>237</v>
      </c>
      <c r="C131" s="152" t="s">
        <v>238</v>
      </c>
      <c r="D131" s="153" t="s">
        <v>239</v>
      </c>
      <c r="E131" s="148" t="s">
        <v>256</v>
      </c>
      <c r="F131" s="176">
        <v>45535</v>
      </c>
      <c r="G131" s="177">
        <v>83615.850000000006</v>
      </c>
      <c r="H131" s="176">
        <v>45565</v>
      </c>
      <c r="I131" s="177">
        <v>85778.559999999998</v>
      </c>
      <c r="J131" s="175">
        <v>1</v>
      </c>
      <c r="K131" s="169">
        <f>I131-G131</f>
        <v>2162.7099999999919</v>
      </c>
      <c r="L131" s="180">
        <v>8.0664359999999995</v>
      </c>
      <c r="M131" s="170">
        <f>K131*L131*J131</f>
        <v>17445.361801559935</v>
      </c>
      <c r="N131" s="17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>
        <f>1.2*6.72203</f>
        <v>8.0664359999999995</v>
      </c>
      <c r="AA131" s="2"/>
      <c r="AB131" s="2"/>
    </row>
    <row r="132" spans="1:28" ht="18.75" x14ac:dyDescent="0.3">
      <c r="A132" s="148"/>
      <c r="B132" s="151"/>
      <c r="C132" s="151"/>
      <c r="D132" s="158"/>
      <c r="E132" s="148"/>
      <c r="F132" s="178"/>
      <c r="G132" s="179"/>
      <c r="H132" s="178"/>
      <c r="I132" s="179"/>
      <c r="J132" s="150"/>
      <c r="K132" s="169"/>
      <c r="L132" s="82"/>
      <c r="M132" s="170"/>
      <c r="N132" s="17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8.75" x14ac:dyDescent="0.3">
      <c r="A133" s="145"/>
      <c r="B133" s="145"/>
      <c r="C133" s="145"/>
      <c r="D133" s="146"/>
      <c r="E133" s="145"/>
      <c r="F133" s="145"/>
      <c r="G133" s="145"/>
      <c r="H133" s="147"/>
      <c r="I133" s="147"/>
      <c r="J133" s="167"/>
      <c r="K133" s="147"/>
      <c r="L133" s="172" t="s">
        <v>241</v>
      </c>
      <c r="M133" s="170">
        <f>SUM(M131:M131)</f>
        <v>17445.361801559935</v>
      </c>
      <c r="N133" s="173" t="s">
        <v>242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8.75" x14ac:dyDescent="0.3">
      <c r="A134" s="145"/>
      <c r="B134" s="441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 x14ac:dyDescent="0.3">
      <c r="A135" s="2"/>
      <c r="B135" s="2"/>
      <c r="C135" s="2"/>
      <c r="D135" s="4"/>
      <c r="E135" s="2"/>
      <c r="F135" s="2"/>
      <c r="G135" s="2"/>
      <c r="H135" s="77"/>
      <c r="I135" s="77"/>
      <c r="J135" s="163"/>
      <c r="K135" s="77"/>
      <c r="L135" s="16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8.75" x14ac:dyDescent="0.3">
      <c r="A136" s="444" t="s">
        <v>259</v>
      </c>
      <c r="B136" s="444"/>
      <c r="C136" s="444"/>
      <c r="D136" s="444"/>
      <c r="E136" s="444"/>
      <c r="F136" s="444"/>
      <c r="G136" s="444"/>
      <c r="H136" s="444"/>
      <c r="I136" s="444"/>
      <c r="J136" s="444"/>
      <c r="K136" s="444"/>
      <c r="L136" s="444"/>
      <c r="M136" s="444"/>
      <c r="N136" s="14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8.75" x14ac:dyDescent="0.3">
      <c r="A137" s="445" t="s">
        <v>224</v>
      </c>
      <c r="B137" s="445"/>
      <c r="C137" s="446" t="s">
        <v>244</v>
      </c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14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8.75" x14ac:dyDescent="0.3">
      <c r="A138" s="145"/>
      <c r="B138" s="145"/>
      <c r="C138" s="145"/>
      <c r="D138" s="146"/>
      <c r="E138" s="145"/>
      <c r="F138" s="145"/>
      <c r="G138" s="145"/>
      <c r="H138" s="147"/>
      <c r="I138" s="147"/>
      <c r="J138" s="167"/>
      <c r="K138" s="147"/>
      <c r="L138" s="168"/>
      <c r="M138" s="145"/>
      <c r="N138" s="14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8.75" x14ac:dyDescent="0.3">
      <c r="A139" s="436" t="s">
        <v>227</v>
      </c>
      <c r="B139" s="436" t="s">
        <v>228</v>
      </c>
      <c r="C139" s="436" t="s">
        <v>229</v>
      </c>
      <c r="D139" s="437" t="s">
        <v>230</v>
      </c>
      <c r="E139" s="437" t="s">
        <v>231</v>
      </c>
      <c r="F139" s="437" t="s">
        <v>232</v>
      </c>
      <c r="G139" s="437"/>
      <c r="H139" s="437"/>
      <c r="I139" s="437"/>
      <c r="J139" s="449" t="s">
        <v>9</v>
      </c>
      <c r="K139" s="449" t="s">
        <v>233</v>
      </c>
      <c r="L139" s="447" t="s">
        <v>234</v>
      </c>
      <c r="M139" s="436" t="s">
        <v>18</v>
      </c>
      <c r="N139" s="14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8.75" x14ac:dyDescent="0.3">
      <c r="A140" s="436"/>
      <c r="B140" s="436"/>
      <c r="C140" s="436"/>
      <c r="D140" s="437"/>
      <c r="E140" s="437"/>
      <c r="F140" s="150" t="s">
        <v>235</v>
      </c>
      <c r="G140" s="167" t="s">
        <v>236</v>
      </c>
      <c r="H140" s="150" t="s">
        <v>235</v>
      </c>
      <c r="I140" s="167" t="s">
        <v>236</v>
      </c>
      <c r="J140" s="449"/>
      <c r="K140" s="449"/>
      <c r="L140" s="448"/>
      <c r="M140" s="437"/>
      <c r="N140" s="14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8.75" x14ac:dyDescent="0.3">
      <c r="A141" s="148">
        <v>1</v>
      </c>
      <c r="B141" s="151" t="s">
        <v>237</v>
      </c>
      <c r="C141" s="152" t="s">
        <v>238</v>
      </c>
      <c r="D141" s="153" t="s">
        <v>239</v>
      </c>
      <c r="E141" s="148" t="s">
        <v>256</v>
      </c>
      <c r="F141" s="176">
        <v>45565</v>
      </c>
      <c r="G141" s="177">
        <v>85778.559999999998</v>
      </c>
      <c r="H141" s="176">
        <v>45596</v>
      </c>
      <c r="I141" s="161">
        <v>87507.12</v>
      </c>
      <c r="J141" s="175">
        <v>1</v>
      </c>
      <c r="K141" s="169">
        <f>I141-G141</f>
        <v>1728.5599999999977</v>
      </c>
      <c r="L141" s="180">
        <v>7.9066799999999997</v>
      </c>
      <c r="M141" s="170">
        <f>K141*L141*J141</f>
        <v>13667.170780799981</v>
      </c>
      <c r="N141" s="17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f>1.2*6.5889</f>
        <v>7.9066799999999997</v>
      </c>
      <c r="AA141" s="2"/>
      <c r="AB141" s="2"/>
    </row>
    <row r="142" spans="1:28" ht="18.75" x14ac:dyDescent="0.3">
      <c r="A142" s="148"/>
      <c r="B142" s="151"/>
      <c r="C142" s="151"/>
      <c r="D142" s="158"/>
      <c r="E142" s="148"/>
      <c r="F142" s="178"/>
      <c r="G142" s="179"/>
      <c r="H142" s="178"/>
      <c r="I142" s="179"/>
      <c r="J142" s="150"/>
      <c r="K142" s="169"/>
      <c r="L142" s="82"/>
      <c r="M142" s="170"/>
      <c r="N142" s="17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8.75" x14ac:dyDescent="0.3">
      <c r="A143" s="145"/>
      <c r="B143" s="145"/>
      <c r="C143" s="145"/>
      <c r="D143" s="146"/>
      <c r="E143" s="145"/>
      <c r="F143" s="145"/>
      <c r="G143" s="145"/>
      <c r="H143" s="147"/>
      <c r="I143" s="147"/>
      <c r="J143" s="167"/>
      <c r="K143" s="147"/>
      <c r="L143" s="172" t="s">
        <v>241</v>
      </c>
      <c r="M143" s="170">
        <f>SUM(M141:M141)</f>
        <v>13667.170780799981</v>
      </c>
      <c r="N143" s="173" t="s">
        <v>242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8.75" x14ac:dyDescent="0.3">
      <c r="A144" s="145"/>
      <c r="B144" s="441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6.5" x14ac:dyDescent="0.3">
      <c r="A145" s="2"/>
      <c r="B145" s="2"/>
      <c r="C145" s="2"/>
      <c r="D145" s="4"/>
      <c r="E145" s="2"/>
      <c r="F145" s="2"/>
      <c r="G145" s="2"/>
      <c r="H145" s="77"/>
      <c r="I145" s="77"/>
      <c r="J145" s="163"/>
      <c r="K145" s="77"/>
      <c r="L145" s="16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8.75" x14ac:dyDescent="0.3">
      <c r="A146" s="444" t="s">
        <v>260</v>
      </c>
      <c r="B146" s="444"/>
      <c r="C146" s="444"/>
      <c r="D146" s="444"/>
      <c r="E146" s="444"/>
      <c r="F146" s="444"/>
      <c r="G146" s="444"/>
      <c r="H146" s="444"/>
      <c r="I146" s="444"/>
      <c r="J146" s="444"/>
      <c r="K146" s="444"/>
      <c r="L146" s="444"/>
      <c r="M146" s="444"/>
      <c r="N146" s="14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8.75" x14ac:dyDescent="0.3">
      <c r="A147" s="445" t="s">
        <v>224</v>
      </c>
      <c r="B147" s="445"/>
      <c r="C147" s="446" t="s">
        <v>244</v>
      </c>
      <c r="D147" s="446"/>
      <c r="E147" s="446"/>
      <c r="F147" s="446"/>
      <c r="G147" s="446"/>
      <c r="H147" s="446"/>
      <c r="I147" s="446"/>
      <c r="J147" s="446"/>
      <c r="K147" s="446"/>
      <c r="L147" s="446"/>
      <c r="M147" s="446"/>
      <c r="N147" s="14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8.75" x14ac:dyDescent="0.3">
      <c r="A148" s="145"/>
      <c r="B148" s="145"/>
      <c r="C148" s="145"/>
      <c r="D148" s="146"/>
      <c r="E148" s="145"/>
      <c r="F148" s="145"/>
      <c r="G148" s="145"/>
      <c r="H148" s="147"/>
      <c r="I148" s="147"/>
      <c r="J148" s="167"/>
      <c r="K148" s="147"/>
      <c r="L148" s="168"/>
      <c r="M148" s="145"/>
      <c r="N148" s="14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8.75" x14ac:dyDescent="0.3">
      <c r="A149" s="436" t="s">
        <v>227</v>
      </c>
      <c r="B149" s="436" t="s">
        <v>228</v>
      </c>
      <c r="C149" s="436" t="s">
        <v>229</v>
      </c>
      <c r="D149" s="437" t="s">
        <v>230</v>
      </c>
      <c r="E149" s="437" t="s">
        <v>231</v>
      </c>
      <c r="F149" s="437" t="s">
        <v>232</v>
      </c>
      <c r="G149" s="437"/>
      <c r="H149" s="437"/>
      <c r="I149" s="437"/>
      <c r="J149" s="449" t="s">
        <v>9</v>
      </c>
      <c r="K149" s="449" t="s">
        <v>233</v>
      </c>
      <c r="L149" s="447" t="s">
        <v>234</v>
      </c>
      <c r="M149" s="436" t="s">
        <v>18</v>
      </c>
      <c r="N149" s="14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8.75" x14ac:dyDescent="0.3">
      <c r="A150" s="436"/>
      <c r="B150" s="436"/>
      <c r="C150" s="436"/>
      <c r="D150" s="437"/>
      <c r="E150" s="437"/>
      <c r="F150" s="150" t="s">
        <v>235</v>
      </c>
      <c r="G150" s="167" t="s">
        <v>236</v>
      </c>
      <c r="H150" s="150" t="s">
        <v>235</v>
      </c>
      <c r="I150" s="167" t="s">
        <v>236</v>
      </c>
      <c r="J150" s="449"/>
      <c r="K150" s="449"/>
      <c r="L150" s="448"/>
      <c r="M150" s="437"/>
      <c r="N150" s="14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8.75" x14ac:dyDescent="0.3">
      <c r="A151" s="148">
        <v>1</v>
      </c>
      <c r="B151" s="151" t="s">
        <v>237</v>
      </c>
      <c r="C151" s="152" t="s">
        <v>238</v>
      </c>
      <c r="D151" s="153" t="s">
        <v>239</v>
      </c>
      <c r="E151" s="148" t="s">
        <v>256</v>
      </c>
      <c r="F151" s="176">
        <v>45596</v>
      </c>
      <c r="G151" s="161">
        <v>87507.12</v>
      </c>
      <c r="H151" s="176">
        <v>45626</v>
      </c>
      <c r="I151" s="161">
        <v>89477.26</v>
      </c>
      <c r="J151" s="175">
        <v>1</v>
      </c>
      <c r="K151" s="169">
        <f>I151-G151</f>
        <v>1970.1399999999994</v>
      </c>
      <c r="L151" s="180" t="e">
        <f>[2]Арендаторы!M15</f>
        <v>#REF!</v>
      </c>
      <c r="M151" s="170" t="e">
        <f>K151*L151*J151</f>
        <v>#REF!</v>
      </c>
      <c r="N151" s="17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8.75" x14ac:dyDescent="0.3">
      <c r="A152" s="148"/>
      <c r="B152" s="151"/>
      <c r="C152" s="151"/>
      <c r="D152" s="158"/>
      <c r="E152" s="148"/>
      <c r="F152" s="178"/>
      <c r="G152" s="179"/>
      <c r="H152" s="178"/>
      <c r="I152" s="179"/>
      <c r="J152" s="150"/>
      <c r="K152" s="169"/>
      <c r="L152" s="82"/>
      <c r="M152" s="170"/>
      <c r="N152" s="171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8.75" x14ac:dyDescent="0.3">
      <c r="A153" s="145"/>
      <c r="B153" s="145"/>
      <c r="C153" s="145"/>
      <c r="D153" s="146"/>
      <c r="E153" s="145"/>
      <c r="F153" s="145"/>
      <c r="G153" s="145"/>
      <c r="H153" s="147"/>
      <c r="I153" s="147"/>
      <c r="J153" s="167"/>
      <c r="K153" s="147"/>
      <c r="L153" s="172" t="s">
        <v>241</v>
      </c>
      <c r="M153" s="170" t="e">
        <f>SUM(M151:M151)</f>
        <v>#REF!</v>
      </c>
      <c r="N153" s="173" t="s">
        <v>242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8.75" x14ac:dyDescent="0.3">
      <c r="A154" s="145"/>
      <c r="B154" s="441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6.5" x14ac:dyDescent="0.3">
      <c r="A155" s="2"/>
      <c r="B155" s="2"/>
      <c r="C155" s="2"/>
      <c r="D155" s="4"/>
      <c r="E155" s="2"/>
      <c r="F155" s="2"/>
      <c r="G155" s="2"/>
      <c r="H155" s="77"/>
      <c r="I155" s="77"/>
      <c r="J155" s="163"/>
      <c r="K155" s="77"/>
      <c r="L155" s="16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8.75" x14ac:dyDescent="0.3">
      <c r="A156" s="444" t="s">
        <v>261</v>
      </c>
      <c r="B156" s="444"/>
      <c r="C156" s="444"/>
      <c r="D156" s="444"/>
      <c r="E156" s="444"/>
      <c r="F156" s="444"/>
      <c r="G156" s="444"/>
      <c r="H156" s="444"/>
      <c r="I156" s="444"/>
      <c r="J156" s="444"/>
      <c r="K156" s="444"/>
      <c r="L156" s="444"/>
      <c r="M156" s="444"/>
      <c r="N156" s="14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8.75" x14ac:dyDescent="0.3">
      <c r="A157" s="445" t="s">
        <v>224</v>
      </c>
      <c r="B157" s="445"/>
      <c r="C157" s="446" t="s">
        <v>244</v>
      </c>
      <c r="D157" s="446"/>
      <c r="E157" s="446"/>
      <c r="F157" s="446"/>
      <c r="G157" s="446"/>
      <c r="H157" s="446"/>
      <c r="I157" s="446"/>
      <c r="J157" s="446"/>
      <c r="K157" s="446"/>
      <c r="L157" s="446"/>
      <c r="M157" s="446"/>
      <c r="N157" s="14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8.75" x14ac:dyDescent="0.3">
      <c r="A158" s="145"/>
      <c r="B158" s="145"/>
      <c r="C158" s="145"/>
      <c r="D158" s="146"/>
      <c r="E158" s="145"/>
      <c r="F158" s="145"/>
      <c r="G158" s="145"/>
      <c r="H158" s="147"/>
      <c r="I158" s="147"/>
      <c r="J158" s="167"/>
      <c r="K158" s="147"/>
      <c r="L158" s="168"/>
      <c r="M158" s="145"/>
      <c r="N158" s="14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8.75" x14ac:dyDescent="0.3">
      <c r="A159" s="436" t="s">
        <v>227</v>
      </c>
      <c r="B159" s="436" t="s">
        <v>228</v>
      </c>
      <c r="C159" s="436" t="s">
        <v>229</v>
      </c>
      <c r="D159" s="437" t="s">
        <v>230</v>
      </c>
      <c r="E159" s="437" t="s">
        <v>231</v>
      </c>
      <c r="F159" s="437" t="s">
        <v>232</v>
      </c>
      <c r="G159" s="437"/>
      <c r="H159" s="437"/>
      <c r="I159" s="437"/>
      <c r="J159" s="449" t="s">
        <v>9</v>
      </c>
      <c r="K159" s="449" t="s">
        <v>233</v>
      </c>
      <c r="L159" s="447" t="s">
        <v>234</v>
      </c>
      <c r="M159" s="436" t="s">
        <v>18</v>
      </c>
      <c r="N159" s="14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8.75" x14ac:dyDescent="0.3">
      <c r="A160" s="436"/>
      <c r="B160" s="436"/>
      <c r="C160" s="436"/>
      <c r="D160" s="437"/>
      <c r="E160" s="437"/>
      <c r="F160" s="150" t="s">
        <v>235</v>
      </c>
      <c r="G160" s="167" t="s">
        <v>236</v>
      </c>
      <c r="H160" s="150" t="s">
        <v>235</v>
      </c>
      <c r="I160" s="167" t="s">
        <v>236</v>
      </c>
      <c r="J160" s="449"/>
      <c r="K160" s="449"/>
      <c r="L160" s="448"/>
      <c r="M160" s="437"/>
      <c r="N160" s="14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8.75" x14ac:dyDescent="0.3">
      <c r="A161" s="148">
        <v>1</v>
      </c>
      <c r="B161" s="151" t="s">
        <v>237</v>
      </c>
      <c r="C161" s="152" t="s">
        <v>238</v>
      </c>
      <c r="D161" s="153" t="s">
        <v>239</v>
      </c>
      <c r="E161" s="148" t="s">
        <v>256</v>
      </c>
      <c r="F161" s="176">
        <v>45626</v>
      </c>
      <c r="G161" s="161">
        <v>89477.26</v>
      </c>
      <c r="H161" s="176">
        <v>45657</v>
      </c>
      <c r="I161" s="161">
        <v>91808.76</v>
      </c>
      <c r="J161" s="175">
        <v>1</v>
      </c>
      <c r="K161" s="169">
        <f>I161-G161</f>
        <v>2331.5</v>
      </c>
      <c r="L161" s="180">
        <v>8.73218381063705</v>
      </c>
      <c r="M161" s="170">
        <f>K161*L161*J161</f>
        <v>20359.086554500282</v>
      </c>
      <c r="N161" s="17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8.75" x14ac:dyDescent="0.3">
      <c r="A162" s="148"/>
      <c r="B162" s="151"/>
      <c r="C162" s="151"/>
      <c r="D162" s="158"/>
      <c r="E162" s="148"/>
      <c r="F162" s="178"/>
      <c r="G162" s="179"/>
      <c r="H162" s="178"/>
      <c r="I162" s="179"/>
      <c r="J162" s="150"/>
      <c r="K162" s="169"/>
      <c r="L162" s="172"/>
      <c r="M162" s="170"/>
      <c r="N162" s="17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8.75" x14ac:dyDescent="0.3">
      <c r="A163" s="145"/>
      <c r="B163" s="145"/>
      <c r="C163" s="145"/>
      <c r="D163" s="146"/>
      <c r="E163" s="145"/>
      <c r="F163" s="145"/>
      <c r="G163" s="145"/>
      <c r="H163" s="147"/>
      <c r="I163" s="147"/>
      <c r="J163" s="167"/>
      <c r="K163" s="147"/>
      <c r="L163" s="172" t="s">
        <v>241</v>
      </c>
      <c r="M163" s="170">
        <f>SUM(M161:M161)</f>
        <v>20359.086554500282</v>
      </c>
      <c r="N163" s="173" t="s">
        <v>242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8.75" x14ac:dyDescent="0.3">
      <c r="A164" s="145"/>
      <c r="B164" s="441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6.5" x14ac:dyDescent="0.3">
      <c r="A165" s="2"/>
      <c r="B165" s="2"/>
      <c r="C165" s="2"/>
      <c r="D165" s="4"/>
      <c r="E165" s="2"/>
      <c r="F165" s="2"/>
      <c r="G165" s="2"/>
      <c r="H165" s="77"/>
      <c r="I165" s="77"/>
      <c r="J165" s="163"/>
      <c r="K165" s="77"/>
      <c r="L165" s="16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8.75" x14ac:dyDescent="0.3">
      <c r="A166" s="444" t="s">
        <v>262</v>
      </c>
      <c r="B166" s="444"/>
      <c r="C166" s="444"/>
      <c r="D166" s="444"/>
      <c r="E166" s="444"/>
      <c r="F166" s="444"/>
      <c r="G166" s="444"/>
      <c r="H166" s="444"/>
      <c r="I166" s="444"/>
      <c r="J166" s="444"/>
      <c r="K166" s="444"/>
      <c r="L166" s="444"/>
      <c r="M166" s="444"/>
      <c r="N166" s="14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8.75" x14ac:dyDescent="0.3">
      <c r="A167" s="445" t="s">
        <v>224</v>
      </c>
      <c r="B167" s="445"/>
      <c r="C167" s="446" t="s">
        <v>244</v>
      </c>
      <c r="D167" s="446"/>
      <c r="E167" s="446"/>
      <c r="F167" s="446"/>
      <c r="G167" s="446"/>
      <c r="H167" s="446"/>
      <c r="I167" s="446"/>
      <c r="J167" s="446"/>
      <c r="K167" s="446"/>
      <c r="L167" s="446"/>
      <c r="M167" s="446"/>
      <c r="N167" s="14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8.75" x14ac:dyDescent="0.3">
      <c r="A168" s="145"/>
      <c r="B168" s="145"/>
      <c r="C168" s="145"/>
      <c r="D168" s="146"/>
      <c r="E168" s="145"/>
      <c r="F168" s="145"/>
      <c r="G168" s="145"/>
      <c r="H168" s="147"/>
      <c r="I168" s="147"/>
      <c r="J168" s="167"/>
      <c r="K168" s="147"/>
      <c r="L168" s="168"/>
      <c r="M168" s="145"/>
      <c r="N168" s="14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8.75" x14ac:dyDescent="0.3">
      <c r="A169" s="436" t="s">
        <v>227</v>
      </c>
      <c r="B169" s="436" t="s">
        <v>228</v>
      </c>
      <c r="C169" s="436" t="s">
        <v>229</v>
      </c>
      <c r="D169" s="437" t="s">
        <v>230</v>
      </c>
      <c r="E169" s="437" t="s">
        <v>231</v>
      </c>
      <c r="F169" s="437" t="s">
        <v>232</v>
      </c>
      <c r="G169" s="437"/>
      <c r="H169" s="437"/>
      <c r="I169" s="437"/>
      <c r="J169" s="449" t="s">
        <v>9</v>
      </c>
      <c r="K169" s="449" t="s">
        <v>233</v>
      </c>
      <c r="L169" s="447" t="s">
        <v>234</v>
      </c>
      <c r="M169" s="436" t="s">
        <v>18</v>
      </c>
      <c r="N169" s="14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8.75" x14ac:dyDescent="0.3">
      <c r="A170" s="436"/>
      <c r="B170" s="436"/>
      <c r="C170" s="436"/>
      <c r="D170" s="437"/>
      <c r="E170" s="437"/>
      <c r="F170" s="150" t="s">
        <v>235</v>
      </c>
      <c r="G170" s="167" t="s">
        <v>236</v>
      </c>
      <c r="H170" s="150" t="s">
        <v>235</v>
      </c>
      <c r="I170" s="167" t="s">
        <v>236</v>
      </c>
      <c r="J170" s="449"/>
      <c r="K170" s="449"/>
      <c r="L170" s="448"/>
      <c r="M170" s="437"/>
      <c r="N170" s="14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8.75" x14ac:dyDescent="0.3">
      <c r="A171" s="148">
        <v>1</v>
      </c>
      <c r="B171" s="151" t="s">
        <v>237</v>
      </c>
      <c r="C171" s="152" t="s">
        <v>238</v>
      </c>
      <c r="D171" s="153" t="s">
        <v>239</v>
      </c>
      <c r="E171" s="148" t="s">
        <v>256</v>
      </c>
      <c r="F171" s="176">
        <v>45657</v>
      </c>
      <c r="G171" s="161">
        <v>91808.76</v>
      </c>
      <c r="H171" s="176">
        <v>45688</v>
      </c>
      <c r="I171" s="161">
        <v>94199.33</v>
      </c>
      <c r="J171" s="175">
        <v>1</v>
      </c>
      <c r="K171" s="169">
        <f>I171-G171</f>
        <v>2390.570000000007</v>
      </c>
      <c r="L171" s="180">
        <v>8.73218381063705</v>
      </c>
      <c r="M171" s="170">
        <f>K171*L171*J171</f>
        <v>20874.896652194675</v>
      </c>
      <c r="N171" s="17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8.75" x14ac:dyDescent="0.3">
      <c r="A172" s="148"/>
      <c r="B172" s="151"/>
      <c r="C172" s="151"/>
      <c r="D172" s="158"/>
      <c r="E172" s="148"/>
      <c r="F172" s="178"/>
      <c r="G172" s="179"/>
      <c r="H172" s="178"/>
      <c r="I172" s="179"/>
      <c r="J172" s="150"/>
      <c r="K172" s="169"/>
      <c r="L172" s="172"/>
      <c r="M172" s="170"/>
      <c r="N172" s="17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8.75" x14ac:dyDescent="0.3">
      <c r="A173" s="145"/>
      <c r="B173" s="145"/>
      <c r="C173" s="145"/>
      <c r="D173" s="146"/>
      <c r="E173" s="145"/>
      <c r="F173" s="145"/>
      <c r="G173" s="145"/>
      <c r="H173" s="147"/>
      <c r="I173" s="147"/>
      <c r="J173" s="167"/>
      <c r="K173" s="147"/>
      <c r="L173" s="172" t="s">
        <v>241</v>
      </c>
      <c r="M173" s="170">
        <f>SUM(M171:M171)</f>
        <v>20874.896652194675</v>
      </c>
      <c r="N173" s="173" t="s">
        <v>242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8.75" x14ac:dyDescent="0.3">
      <c r="A174" s="145"/>
      <c r="B174" s="441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6.5" x14ac:dyDescent="0.3">
      <c r="A175" s="2"/>
      <c r="B175" s="2"/>
      <c r="C175" s="2"/>
      <c r="D175" s="4"/>
      <c r="E175" s="2"/>
      <c r="F175" s="2"/>
      <c r="G175" s="2"/>
      <c r="H175" s="77"/>
      <c r="I175" s="77"/>
      <c r="J175" s="163"/>
      <c r="K175" s="77"/>
      <c r="L175" s="16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8" x14ac:dyDescent="0.3">
      <c r="A176" s="444" t="s">
        <v>263</v>
      </c>
      <c r="B176" s="444"/>
      <c r="C176" s="444"/>
      <c r="D176" s="444"/>
      <c r="E176" s="444"/>
      <c r="F176" s="444"/>
      <c r="G176" s="444"/>
      <c r="H176" s="444"/>
      <c r="I176" s="444"/>
      <c r="J176" s="444"/>
      <c r="K176" s="444"/>
      <c r="L176" s="444"/>
      <c r="M176" s="44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8.75" x14ac:dyDescent="0.3">
      <c r="A177" s="445" t="s">
        <v>224</v>
      </c>
      <c r="B177" s="445"/>
      <c r="C177" s="446" t="s">
        <v>244</v>
      </c>
      <c r="D177" s="446"/>
      <c r="E177" s="446"/>
      <c r="F177" s="446"/>
      <c r="G177" s="446"/>
      <c r="H177" s="446"/>
      <c r="I177" s="446"/>
      <c r="J177" s="446"/>
      <c r="K177" s="446"/>
      <c r="L177" s="446"/>
      <c r="M177" s="44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8" customHeight="1" x14ac:dyDescent="0.3">
      <c r="A178" s="145"/>
      <c r="B178" s="145"/>
      <c r="C178" s="145"/>
      <c r="D178" s="146"/>
      <c r="E178" s="145"/>
      <c r="F178" s="145"/>
      <c r="G178" s="145"/>
      <c r="H178" s="147"/>
      <c r="I178" s="147"/>
      <c r="J178" s="167"/>
      <c r="K178" s="147"/>
      <c r="L178" s="168"/>
      <c r="M178" s="14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8" x14ac:dyDescent="0.3">
      <c r="A179" s="436" t="s">
        <v>227</v>
      </c>
      <c r="B179" s="436" t="s">
        <v>228</v>
      </c>
      <c r="C179" s="436" t="s">
        <v>229</v>
      </c>
      <c r="D179" s="437" t="s">
        <v>230</v>
      </c>
      <c r="E179" s="437" t="s">
        <v>231</v>
      </c>
      <c r="F179" s="437" t="s">
        <v>232</v>
      </c>
      <c r="G179" s="437"/>
      <c r="H179" s="437"/>
      <c r="I179" s="437"/>
      <c r="J179" s="449" t="s">
        <v>9</v>
      </c>
      <c r="K179" s="449" t="s">
        <v>233</v>
      </c>
      <c r="L179" s="447" t="s">
        <v>234</v>
      </c>
      <c r="M179" s="436" t="s">
        <v>18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8" x14ac:dyDescent="0.3">
      <c r="A180" s="436"/>
      <c r="B180" s="436"/>
      <c r="C180" s="436"/>
      <c r="D180" s="437"/>
      <c r="E180" s="437"/>
      <c r="F180" s="150" t="s">
        <v>235</v>
      </c>
      <c r="G180" s="167" t="s">
        <v>236</v>
      </c>
      <c r="H180" s="150" t="s">
        <v>235</v>
      </c>
      <c r="I180" s="167" t="s">
        <v>236</v>
      </c>
      <c r="J180" s="449"/>
      <c r="K180" s="449"/>
      <c r="L180" s="448"/>
      <c r="M180" s="43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8" x14ac:dyDescent="0.3">
      <c r="A181" s="148">
        <v>1</v>
      </c>
      <c r="B181" s="151" t="s">
        <v>237</v>
      </c>
      <c r="C181" s="152" t="s">
        <v>238</v>
      </c>
      <c r="D181" s="153" t="s">
        <v>239</v>
      </c>
      <c r="E181" s="148" t="s">
        <v>256</v>
      </c>
      <c r="F181" s="176">
        <v>45688</v>
      </c>
      <c r="G181" s="161">
        <v>94199.33</v>
      </c>
      <c r="H181" s="176">
        <v>45716</v>
      </c>
      <c r="I181" s="161">
        <v>97221.32</v>
      </c>
      <c r="J181" s="175">
        <v>1</v>
      </c>
      <c r="K181" s="169">
        <f>I181-G181</f>
        <v>3021.9900000000052</v>
      </c>
      <c r="L181" s="180">
        <v>8.73218381063705</v>
      </c>
      <c r="M181" s="170">
        <f>K181*L181*J181</f>
        <v>26388.572153907106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8" x14ac:dyDescent="0.3">
      <c r="A182" s="148"/>
      <c r="B182" s="151"/>
      <c r="C182" s="151"/>
      <c r="D182" s="158"/>
      <c r="E182" s="148"/>
      <c r="F182" s="178"/>
      <c r="G182" s="179"/>
      <c r="H182" s="178"/>
      <c r="I182" s="179"/>
      <c r="J182" s="150"/>
      <c r="K182" s="169"/>
      <c r="L182" s="172"/>
      <c r="M182" s="17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8.75" x14ac:dyDescent="0.3">
      <c r="A183" s="145"/>
      <c r="B183" s="145"/>
      <c r="C183" s="145"/>
      <c r="D183" s="146"/>
      <c r="E183" s="145"/>
      <c r="F183" s="145"/>
      <c r="G183" s="145"/>
      <c r="H183" s="147"/>
      <c r="I183" s="147"/>
      <c r="J183" s="167"/>
      <c r="K183" s="147"/>
      <c r="L183" s="172" t="s">
        <v>241</v>
      </c>
      <c r="M183" s="170">
        <f>SUM(M181:M181)</f>
        <v>26388.572153907106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6.5" x14ac:dyDescent="0.3">
      <c r="A184" s="2"/>
      <c r="B184" s="2"/>
      <c r="C184" s="2"/>
      <c r="D184" s="4"/>
      <c r="E184" s="2"/>
      <c r="F184" s="2"/>
      <c r="G184" s="2"/>
      <c r="H184" s="77"/>
      <c r="I184" s="77"/>
      <c r="J184" s="163"/>
      <c r="K184" s="77"/>
      <c r="L184" s="16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8" x14ac:dyDescent="0.3">
      <c r="A185" s="444" t="s">
        <v>264</v>
      </c>
      <c r="B185" s="444"/>
      <c r="C185" s="444"/>
      <c r="D185" s="444"/>
      <c r="E185" s="444"/>
      <c r="F185" s="444"/>
      <c r="G185" s="444"/>
      <c r="H185" s="444"/>
      <c r="I185" s="444"/>
      <c r="J185" s="444"/>
      <c r="K185" s="444"/>
      <c r="L185" s="444"/>
      <c r="M185" s="44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8.75" x14ac:dyDescent="0.3">
      <c r="A186" s="445" t="s">
        <v>224</v>
      </c>
      <c r="B186" s="445"/>
      <c r="C186" s="446" t="s">
        <v>244</v>
      </c>
      <c r="D186" s="446"/>
      <c r="E186" s="446"/>
      <c r="F186" s="446"/>
      <c r="G186" s="446"/>
      <c r="H186" s="446"/>
      <c r="I186" s="446"/>
      <c r="J186" s="446"/>
      <c r="K186" s="446"/>
      <c r="L186" s="446"/>
      <c r="M186" s="44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8.75" x14ac:dyDescent="0.3">
      <c r="A187" s="145"/>
      <c r="B187" s="145"/>
      <c r="C187" s="145"/>
      <c r="D187" s="146"/>
      <c r="E187" s="145"/>
      <c r="F187" s="145"/>
      <c r="G187" s="145"/>
      <c r="H187" s="147"/>
      <c r="I187" s="147"/>
      <c r="J187" s="167"/>
      <c r="K187" s="147"/>
      <c r="L187" s="168"/>
      <c r="M187" s="14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8" x14ac:dyDescent="0.3">
      <c r="A188" s="436" t="s">
        <v>227</v>
      </c>
      <c r="B188" s="436" t="s">
        <v>228</v>
      </c>
      <c r="C188" s="436" t="s">
        <v>229</v>
      </c>
      <c r="D188" s="437" t="s">
        <v>230</v>
      </c>
      <c r="E188" s="437" t="s">
        <v>231</v>
      </c>
      <c r="F188" s="437" t="s">
        <v>232</v>
      </c>
      <c r="G188" s="437"/>
      <c r="H188" s="437"/>
      <c r="I188" s="437"/>
      <c r="J188" s="449" t="s">
        <v>9</v>
      </c>
      <c r="K188" s="449" t="s">
        <v>233</v>
      </c>
      <c r="L188" s="447" t="s">
        <v>234</v>
      </c>
      <c r="M188" s="436" t="s">
        <v>18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8" x14ac:dyDescent="0.3">
      <c r="A189" s="436"/>
      <c r="B189" s="436"/>
      <c r="C189" s="436"/>
      <c r="D189" s="437"/>
      <c r="E189" s="437"/>
      <c r="F189" s="150" t="s">
        <v>235</v>
      </c>
      <c r="G189" s="167" t="s">
        <v>236</v>
      </c>
      <c r="H189" s="150" t="s">
        <v>235</v>
      </c>
      <c r="I189" s="167" t="s">
        <v>236</v>
      </c>
      <c r="J189" s="449"/>
      <c r="K189" s="449"/>
      <c r="L189" s="448"/>
      <c r="M189" s="43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8" x14ac:dyDescent="0.3">
      <c r="A190" s="148">
        <v>1</v>
      </c>
      <c r="B190" s="151" t="s">
        <v>237</v>
      </c>
      <c r="C190" s="152" t="s">
        <v>238</v>
      </c>
      <c r="D190" s="153" t="s">
        <v>239</v>
      </c>
      <c r="E190" s="148" t="s">
        <v>256</v>
      </c>
      <c r="F190" s="176">
        <v>45716</v>
      </c>
      <c r="G190" s="161">
        <v>97221.32</v>
      </c>
      <c r="H190" s="176">
        <v>45747</v>
      </c>
      <c r="I190" s="161">
        <v>99312</v>
      </c>
      <c r="J190" s="175">
        <v>1</v>
      </c>
      <c r="K190" s="169">
        <f>I190-G190</f>
        <v>2090.679999999993</v>
      </c>
      <c r="L190" s="180">
        <v>7.94635193019566</v>
      </c>
      <c r="M190" s="170">
        <f>K190*L190*J190</f>
        <v>16613.279053421407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8" x14ac:dyDescent="0.3">
      <c r="A191" s="148"/>
      <c r="B191" s="151"/>
      <c r="C191" s="151"/>
      <c r="D191" s="158"/>
      <c r="E191" s="148"/>
      <c r="F191" s="178"/>
      <c r="G191" s="179"/>
      <c r="H191" s="178"/>
      <c r="I191" s="179"/>
      <c r="J191" s="150"/>
      <c r="K191" s="169"/>
      <c r="L191" s="172"/>
      <c r="M191" s="17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8.75" x14ac:dyDescent="0.3">
      <c r="A192" s="145"/>
      <c r="B192" s="145"/>
      <c r="C192" s="145"/>
      <c r="D192" s="146"/>
      <c r="E192" s="145"/>
      <c r="F192" s="145"/>
      <c r="G192" s="145"/>
      <c r="H192" s="147"/>
      <c r="I192" s="147"/>
      <c r="J192" s="167"/>
      <c r="K192" s="147"/>
      <c r="L192" s="172" t="s">
        <v>241</v>
      </c>
      <c r="M192" s="170">
        <f>SUM(M190:M190)</f>
        <v>16613.279053421407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6.5" x14ac:dyDescent="0.3">
      <c r="A193" s="2"/>
      <c r="B193" s="2"/>
      <c r="C193" s="2"/>
      <c r="D193" s="4"/>
      <c r="E193" s="2"/>
      <c r="F193" s="2"/>
      <c r="G193" s="2"/>
      <c r="H193" s="77"/>
      <c r="I193" s="77"/>
      <c r="J193" s="163"/>
      <c r="K193" s="77"/>
      <c r="L193" s="16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6.5" x14ac:dyDescent="0.3">
      <c r="A194" s="2"/>
      <c r="B194" s="2"/>
      <c r="C194" s="2"/>
      <c r="D194" s="4"/>
      <c r="E194" s="2"/>
      <c r="F194" s="2"/>
      <c r="G194" s="2"/>
      <c r="H194" s="77"/>
      <c r="I194" s="77"/>
      <c r="J194" s="163"/>
      <c r="K194" s="77"/>
      <c r="L194" s="16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8" x14ac:dyDescent="0.3">
      <c r="A195" s="444" t="s">
        <v>265</v>
      </c>
      <c r="B195" s="444"/>
      <c r="C195" s="444"/>
      <c r="D195" s="444"/>
      <c r="E195" s="444"/>
      <c r="F195" s="444"/>
      <c r="G195" s="444"/>
      <c r="H195" s="444"/>
      <c r="I195" s="444"/>
      <c r="J195" s="444"/>
      <c r="K195" s="444"/>
      <c r="L195" s="444"/>
      <c r="M195" s="44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8.75" x14ac:dyDescent="0.3">
      <c r="A196" s="445" t="s">
        <v>224</v>
      </c>
      <c r="B196" s="445"/>
      <c r="C196" s="446" t="s">
        <v>244</v>
      </c>
      <c r="D196" s="446"/>
      <c r="E196" s="446"/>
      <c r="F196" s="446"/>
      <c r="G196" s="446"/>
      <c r="H196" s="446"/>
      <c r="I196" s="446"/>
      <c r="J196" s="446"/>
      <c r="K196" s="446"/>
      <c r="L196" s="446"/>
      <c r="M196" s="44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8.75" x14ac:dyDescent="0.3">
      <c r="A197" s="145"/>
      <c r="B197" s="145"/>
      <c r="C197" s="145"/>
      <c r="D197" s="146"/>
      <c r="E197" s="145"/>
      <c r="F197" s="145"/>
      <c r="G197" s="145"/>
      <c r="H197" s="147"/>
      <c r="I197" s="147"/>
      <c r="J197" s="167"/>
      <c r="K197" s="147"/>
      <c r="L197" s="168"/>
      <c r="M197" s="14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8" x14ac:dyDescent="0.3">
      <c r="A198" s="436" t="s">
        <v>227</v>
      </c>
      <c r="B198" s="436" t="s">
        <v>228</v>
      </c>
      <c r="C198" s="436" t="s">
        <v>229</v>
      </c>
      <c r="D198" s="437" t="s">
        <v>230</v>
      </c>
      <c r="E198" s="437" t="s">
        <v>231</v>
      </c>
      <c r="F198" s="437" t="s">
        <v>232</v>
      </c>
      <c r="G198" s="437"/>
      <c r="H198" s="437"/>
      <c r="I198" s="437"/>
      <c r="J198" s="449" t="s">
        <v>9</v>
      </c>
      <c r="K198" s="449" t="s">
        <v>233</v>
      </c>
      <c r="L198" s="447" t="s">
        <v>234</v>
      </c>
      <c r="M198" s="436" t="s">
        <v>18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8" x14ac:dyDescent="0.3">
      <c r="A199" s="436"/>
      <c r="B199" s="436"/>
      <c r="C199" s="436"/>
      <c r="D199" s="437"/>
      <c r="E199" s="437"/>
      <c r="F199" s="150" t="s">
        <v>235</v>
      </c>
      <c r="G199" s="167" t="s">
        <v>236</v>
      </c>
      <c r="H199" s="150" t="s">
        <v>235</v>
      </c>
      <c r="I199" s="167" t="s">
        <v>236</v>
      </c>
      <c r="J199" s="449"/>
      <c r="K199" s="449"/>
      <c r="L199" s="448"/>
      <c r="M199" s="43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8" x14ac:dyDescent="0.3">
      <c r="A200" s="148">
        <v>1</v>
      </c>
      <c r="B200" s="151" t="s">
        <v>237</v>
      </c>
      <c r="C200" s="152" t="s">
        <v>238</v>
      </c>
      <c r="D200" s="153" t="s">
        <v>239</v>
      </c>
      <c r="E200" s="148" t="s">
        <v>256</v>
      </c>
      <c r="F200" s="176">
        <v>45747</v>
      </c>
      <c r="G200" s="161">
        <v>99312</v>
      </c>
      <c r="H200" s="176">
        <v>45777</v>
      </c>
      <c r="I200" s="161">
        <v>100885.27</v>
      </c>
      <c r="J200" s="175">
        <v>1</v>
      </c>
      <c r="K200" s="169">
        <f>I200-G200</f>
        <v>1573.2700000000041</v>
      </c>
      <c r="L200" s="180">
        <v>6.7700279999999999</v>
      </c>
      <c r="M200" s="170">
        <f>K200*L200*J200</f>
        <v>10651.081951560027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8" x14ac:dyDescent="0.3">
      <c r="A201" s="148"/>
      <c r="B201" s="151"/>
      <c r="C201" s="151"/>
      <c r="D201" s="158"/>
      <c r="E201" s="148"/>
      <c r="F201" s="178"/>
      <c r="G201" s="179"/>
      <c r="H201" s="178"/>
      <c r="I201" s="179"/>
      <c r="J201" s="150"/>
      <c r="K201" s="169"/>
      <c r="L201" s="172"/>
      <c r="M201" s="17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8.75" x14ac:dyDescent="0.3">
      <c r="A202" s="145"/>
      <c r="B202" s="145"/>
      <c r="C202" s="145"/>
      <c r="D202" s="146"/>
      <c r="E202" s="145"/>
      <c r="F202" s="145"/>
      <c r="G202" s="145"/>
      <c r="H202" s="147"/>
      <c r="I202" s="147"/>
      <c r="J202" s="167"/>
      <c r="K202" s="147"/>
      <c r="L202" s="172" t="s">
        <v>241</v>
      </c>
      <c r="M202" s="170">
        <f>SUM(M200:M200)</f>
        <v>10651.081951560027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8" x14ac:dyDescent="0.3">
      <c r="A203" s="444" t="s">
        <v>266</v>
      </c>
      <c r="B203" s="444"/>
      <c r="C203" s="444"/>
      <c r="D203" s="444"/>
      <c r="E203" s="444"/>
      <c r="F203" s="444"/>
      <c r="G203" s="444"/>
      <c r="H203" s="444"/>
      <c r="I203" s="444"/>
      <c r="J203" s="444"/>
      <c r="K203" s="444"/>
      <c r="L203" s="444"/>
      <c r="M203" s="44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8.75" x14ac:dyDescent="0.3">
      <c r="A204" s="445" t="s">
        <v>224</v>
      </c>
      <c r="B204" s="445"/>
      <c r="C204" s="446" t="s">
        <v>244</v>
      </c>
      <c r="D204" s="446"/>
      <c r="E204" s="446"/>
      <c r="F204" s="446"/>
      <c r="G204" s="446"/>
      <c r="H204" s="446"/>
      <c r="I204" s="446"/>
      <c r="J204" s="446"/>
      <c r="K204" s="446"/>
      <c r="L204" s="446"/>
      <c r="M204" s="44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8.75" x14ac:dyDescent="0.3">
      <c r="A205" s="145"/>
      <c r="B205" s="145"/>
      <c r="C205" s="145"/>
      <c r="D205" s="146"/>
      <c r="E205" s="145"/>
      <c r="F205" s="145"/>
      <c r="G205" s="145"/>
      <c r="H205" s="147"/>
      <c r="I205" s="147"/>
      <c r="J205" s="167"/>
      <c r="K205" s="147"/>
      <c r="L205" s="168"/>
      <c r="M205" s="14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8" x14ac:dyDescent="0.3">
      <c r="A206" s="436" t="s">
        <v>227</v>
      </c>
      <c r="B206" s="436" t="s">
        <v>228</v>
      </c>
      <c r="C206" s="436" t="s">
        <v>229</v>
      </c>
      <c r="D206" s="437" t="s">
        <v>230</v>
      </c>
      <c r="E206" s="437" t="s">
        <v>231</v>
      </c>
      <c r="F206" s="437" t="s">
        <v>232</v>
      </c>
      <c r="G206" s="437"/>
      <c r="H206" s="437"/>
      <c r="I206" s="437"/>
      <c r="J206" s="449" t="s">
        <v>9</v>
      </c>
      <c r="K206" s="449" t="s">
        <v>233</v>
      </c>
      <c r="L206" s="447" t="s">
        <v>234</v>
      </c>
      <c r="M206" s="436" t="s">
        <v>18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8" x14ac:dyDescent="0.3">
      <c r="A207" s="436"/>
      <c r="B207" s="436"/>
      <c r="C207" s="436"/>
      <c r="D207" s="437"/>
      <c r="E207" s="437"/>
      <c r="F207" s="150" t="s">
        <v>235</v>
      </c>
      <c r="G207" s="167" t="s">
        <v>236</v>
      </c>
      <c r="H207" s="150" t="s">
        <v>235</v>
      </c>
      <c r="I207" s="167" t="s">
        <v>236</v>
      </c>
      <c r="J207" s="449"/>
      <c r="K207" s="449"/>
      <c r="L207" s="448"/>
      <c r="M207" s="43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8" x14ac:dyDescent="0.3">
      <c r="A208" s="148">
        <v>1</v>
      </c>
      <c r="B208" s="151" t="s">
        <v>237</v>
      </c>
      <c r="C208" s="152" t="s">
        <v>238</v>
      </c>
      <c r="D208" s="153" t="s">
        <v>239</v>
      </c>
      <c r="E208" s="148" t="s">
        <v>256</v>
      </c>
      <c r="F208" s="176">
        <v>45777</v>
      </c>
      <c r="G208" s="161">
        <v>100885.27</v>
      </c>
      <c r="H208" s="176">
        <v>45808</v>
      </c>
      <c r="I208" s="161">
        <v>102520.82</v>
      </c>
      <c r="J208" s="175">
        <v>1</v>
      </c>
      <c r="K208" s="169">
        <f>I208-G208</f>
        <v>1635.5500000000029</v>
      </c>
      <c r="L208" s="180">
        <v>6.9424920634920602</v>
      </c>
      <c r="M208" s="170">
        <f>K208*L208*J208</f>
        <v>11354.792894444459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8" x14ac:dyDescent="0.3">
      <c r="A209" s="148"/>
      <c r="B209" s="151"/>
      <c r="C209" s="151"/>
      <c r="D209" s="158"/>
      <c r="E209" s="148"/>
      <c r="F209" s="178"/>
      <c r="G209" s="179"/>
      <c r="H209" s="178"/>
      <c r="I209" s="179"/>
      <c r="J209" s="150"/>
      <c r="K209" s="169"/>
      <c r="L209" s="172"/>
      <c r="M209" s="17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8.75" x14ac:dyDescent="0.3">
      <c r="A210" s="145"/>
      <c r="B210" s="145"/>
      <c r="C210" s="145"/>
      <c r="D210" s="146"/>
      <c r="E210" s="145"/>
      <c r="F210" s="145"/>
      <c r="G210" s="145"/>
      <c r="H210" s="147"/>
      <c r="I210" s="147"/>
      <c r="J210" s="167"/>
      <c r="K210" s="147"/>
      <c r="L210" s="172" t="s">
        <v>241</v>
      </c>
      <c r="M210" s="170">
        <f>SUM(M208:M208)</f>
        <v>11354.792894444459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6.5" x14ac:dyDescent="0.3">
      <c r="A211" s="2"/>
      <c r="B211" s="2"/>
      <c r="C211" s="2"/>
      <c r="D211" s="4"/>
      <c r="E211" s="2"/>
      <c r="F211" s="2"/>
      <c r="G211" s="2"/>
      <c r="H211" s="77"/>
      <c r="I211" s="77"/>
      <c r="J211" s="163"/>
      <c r="K211" s="77"/>
      <c r="L211" s="16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8" x14ac:dyDescent="0.3">
      <c r="A212" s="444" t="s">
        <v>267</v>
      </c>
      <c r="B212" s="444"/>
      <c r="C212" s="444"/>
      <c r="D212" s="444"/>
      <c r="E212" s="444"/>
      <c r="F212" s="444"/>
      <c r="G212" s="444"/>
      <c r="H212" s="444"/>
      <c r="I212" s="444"/>
      <c r="J212" s="444"/>
      <c r="K212" s="444"/>
      <c r="L212" s="444"/>
      <c r="M212" s="44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8.75" x14ac:dyDescent="0.3">
      <c r="A213" s="445" t="s">
        <v>224</v>
      </c>
      <c r="B213" s="445"/>
      <c r="C213" s="446" t="s">
        <v>244</v>
      </c>
      <c r="D213" s="446"/>
      <c r="E213" s="446"/>
      <c r="F213" s="446"/>
      <c r="G213" s="446"/>
      <c r="H213" s="446"/>
      <c r="I213" s="446"/>
      <c r="J213" s="446"/>
      <c r="K213" s="446"/>
      <c r="L213" s="446"/>
      <c r="M213" s="44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8.75" x14ac:dyDescent="0.3">
      <c r="A214" s="145"/>
      <c r="B214" s="145"/>
      <c r="C214" s="145"/>
      <c r="D214" s="146"/>
      <c r="E214" s="145"/>
      <c r="F214" s="145"/>
      <c r="G214" s="145"/>
      <c r="H214" s="147"/>
      <c r="I214" s="147"/>
      <c r="J214" s="167"/>
      <c r="K214" s="147"/>
      <c r="L214" s="168"/>
      <c r="M214" s="14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8" x14ac:dyDescent="0.3">
      <c r="A215" s="436" t="s">
        <v>227</v>
      </c>
      <c r="B215" s="436" t="s">
        <v>228</v>
      </c>
      <c r="C215" s="436" t="s">
        <v>229</v>
      </c>
      <c r="D215" s="437" t="s">
        <v>230</v>
      </c>
      <c r="E215" s="437" t="s">
        <v>231</v>
      </c>
      <c r="F215" s="437" t="s">
        <v>232</v>
      </c>
      <c r="G215" s="437"/>
      <c r="H215" s="437"/>
      <c r="I215" s="437"/>
      <c r="J215" s="449" t="s">
        <v>9</v>
      </c>
      <c r="K215" s="449" t="s">
        <v>233</v>
      </c>
      <c r="L215" s="447" t="s">
        <v>234</v>
      </c>
      <c r="M215" s="436" t="s">
        <v>18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8" x14ac:dyDescent="0.3">
      <c r="A216" s="436"/>
      <c r="B216" s="436"/>
      <c r="C216" s="436"/>
      <c r="D216" s="437"/>
      <c r="E216" s="437"/>
      <c r="F216" s="150" t="s">
        <v>235</v>
      </c>
      <c r="G216" s="167" t="s">
        <v>236</v>
      </c>
      <c r="H216" s="150" t="s">
        <v>235</v>
      </c>
      <c r="I216" s="167" t="s">
        <v>236</v>
      </c>
      <c r="J216" s="449"/>
      <c r="K216" s="449"/>
      <c r="L216" s="448"/>
      <c r="M216" s="43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8" x14ac:dyDescent="0.3">
      <c r="A217" s="148">
        <v>1</v>
      </c>
      <c r="B217" s="151" t="s">
        <v>237</v>
      </c>
      <c r="C217" s="152" t="s">
        <v>238</v>
      </c>
      <c r="D217" s="153" t="s">
        <v>239</v>
      </c>
      <c r="E217" s="148" t="s">
        <v>256</v>
      </c>
      <c r="F217" s="176">
        <v>45808</v>
      </c>
      <c r="G217" s="161">
        <v>102520.82</v>
      </c>
      <c r="H217" s="176">
        <v>45838</v>
      </c>
      <c r="I217" s="161">
        <v>104640.9</v>
      </c>
      <c r="J217" s="175">
        <v>1</v>
      </c>
      <c r="K217" s="169">
        <f>I217-G217</f>
        <v>2120.0799999999872</v>
      </c>
      <c r="L217" s="180">
        <v>7.0390201810637496</v>
      </c>
      <c r="M217" s="170">
        <f>K217*L217*J217</f>
        <v>14923.285905469544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8" x14ac:dyDescent="0.3">
      <c r="A218" s="148"/>
      <c r="B218" s="151"/>
      <c r="C218" s="151"/>
      <c r="D218" s="158"/>
      <c r="E218" s="148"/>
      <c r="F218" s="178"/>
      <c r="G218" s="179"/>
      <c r="H218" s="178"/>
      <c r="I218" s="179"/>
      <c r="J218" s="150"/>
      <c r="K218" s="169"/>
      <c r="L218" s="172"/>
      <c r="M218" s="17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8.75" x14ac:dyDescent="0.3">
      <c r="A219" s="145"/>
      <c r="B219" s="145"/>
      <c r="C219" s="145"/>
      <c r="D219" s="146"/>
      <c r="E219" s="145"/>
      <c r="F219" s="145"/>
      <c r="G219" s="145"/>
      <c r="H219" s="147"/>
      <c r="I219" s="147"/>
      <c r="J219" s="167"/>
      <c r="K219" s="147"/>
      <c r="L219" s="172" t="s">
        <v>241</v>
      </c>
      <c r="M219" s="170">
        <f>SUM(M217:M217)</f>
        <v>14923.285905469544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8" x14ac:dyDescent="0.3">
      <c r="A220" s="444" t="s">
        <v>268</v>
      </c>
      <c r="B220" s="444"/>
      <c r="C220" s="444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8.75" x14ac:dyDescent="0.3">
      <c r="A221" s="445" t="s">
        <v>224</v>
      </c>
      <c r="B221" s="445"/>
      <c r="C221" s="446" t="s">
        <v>244</v>
      </c>
      <c r="D221" s="446"/>
      <c r="E221" s="446"/>
      <c r="F221" s="446"/>
      <c r="G221" s="446"/>
      <c r="H221" s="446"/>
      <c r="I221" s="446"/>
      <c r="J221" s="446"/>
      <c r="K221" s="446"/>
      <c r="L221" s="446"/>
      <c r="M221" s="446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8.75" x14ac:dyDescent="0.3">
      <c r="A222" s="145"/>
      <c r="B222" s="145"/>
      <c r="C222" s="145"/>
      <c r="D222" s="146"/>
      <c r="E222" s="145"/>
      <c r="F222" s="145"/>
      <c r="G222" s="145"/>
      <c r="H222" s="147"/>
      <c r="I222" s="147"/>
      <c r="J222" s="167"/>
      <c r="K222" s="147"/>
      <c r="L222" s="168"/>
      <c r="M222" s="14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8" x14ac:dyDescent="0.3">
      <c r="A223" s="436" t="s">
        <v>227</v>
      </c>
      <c r="B223" s="436" t="s">
        <v>228</v>
      </c>
      <c r="C223" s="436" t="s">
        <v>229</v>
      </c>
      <c r="D223" s="437" t="s">
        <v>230</v>
      </c>
      <c r="E223" s="437" t="s">
        <v>231</v>
      </c>
      <c r="F223" s="437" t="s">
        <v>232</v>
      </c>
      <c r="G223" s="437"/>
      <c r="H223" s="437"/>
      <c r="I223" s="437"/>
      <c r="J223" s="449" t="s">
        <v>9</v>
      </c>
      <c r="K223" s="449" t="s">
        <v>233</v>
      </c>
      <c r="L223" s="447" t="s">
        <v>234</v>
      </c>
      <c r="M223" s="436" t="s">
        <v>18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8" x14ac:dyDescent="0.3">
      <c r="A224" s="436"/>
      <c r="B224" s="436"/>
      <c r="C224" s="436"/>
      <c r="D224" s="437"/>
      <c r="E224" s="437"/>
      <c r="F224" s="150" t="s">
        <v>235</v>
      </c>
      <c r="G224" s="167" t="s">
        <v>236</v>
      </c>
      <c r="H224" s="150" t="s">
        <v>235</v>
      </c>
      <c r="I224" s="167" t="s">
        <v>236</v>
      </c>
      <c r="J224" s="449"/>
      <c r="K224" s="449"/>
      <c r="L224" s="448"/>
      <c r="M224" s="43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8" x14ac:dyDescent="0.3">
      <c r="A225" s="148">
        <v>1</v>
      </c>
      <c r="B225" s="151" t="s">
        <v>237</v>
      </c>
      <c r="C225" s="152" t="s">
        <v>238</v>
      </c>
      <c r="D225" s="153" t="s">
        <v>239</v>
      </c>
      <c r="E225" s="148" t="s">
        <v>256</v>
      </c>
      <c r="F225" s="176">
        <v>45838</v>
      </c>
      <c r="G225" s="161">
        <v>104640.9</v>
      </c>
      <c r="H225" s="176">
        <v>45869</v>
      </c>
      <c r="I225" s="161">
        <v>107097.9</v>
      </c>
      <c r="J225" s="175">
        <v>1</v>
      </c>
      <c r="K225" s="169">
        <f>I225-G225</f>
        <v>2457</v>
      </c>
      <c r="L225" s="180">
        <v>7.7927</v>
      </c>
      <c r="M225" s="170">
        <f>K225*L225*J225</f>
        <v>19146.6639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8" x14ac:dyDescent="0.3">
      <c r="A226" s="148"/>
      <c r="B226" s="151"/>
      <c r="C226" s="151"/>
      <c r="D226" s="158"/>
      <c r="E226" s="148"/>
      <c r="F226" s="178"/>
      <c r="G226" s="179"/>
      <c r="H226" s="178"/>
      <c r="I226" s="179"/>
      <c r="J226" s="150"/>
      <c r="K226" s="169"/>
      <c r="L226" s="172"/>
      <c r="M226" s="17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8.75" x14ac:dyDescent="0.3">
      <c r="A227" s="145"/>
      <c r="B227" s="145"/>
      <c r="C227" s="145"/>
      <c r="D227" s="146"/>
      <c r="E227" s="145"/>
      <c r="F227" s="145"/>
      <c r="G227" s="145"/>
      <c r="H227" s="147"/>
      <c r="I227" s="147"/>
      <c r="J227" s="167"/>
      <c r="K227" s="147"/>
      <c r="L227" s="172" t="s">
        <v>241</v>
      </c>
      <c r="M227" s="170">
        <f>SUM(M225:M225)</f>
        <v>19146.6639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8" x14ac:dyDescent="0.3">
      <c r="A228" s="444" t="s">
        <v>269</v>
      </c>
      <c r="B228" s="444"/>
      <c r="C228" s="444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8.75" x14ac:dyDescent="0.3">
      <c r="A229" s="445" t="s">
        <v>224</v>
      </c>
      <c r="B229" s="445"/>
      <c r="C229" s="446" t="s">
        <v>244</v>
      </c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8.75" x14ac:dyDescent="0.3">
      <c r="A230" s="145"/>
      <c r="B230" s="145"/>
      <c r="C230" s="145"/>
      <c r="D230" s="146"/>
      <c r="E230" s="145"/>
      <c r="F230" s="145"/>
      <c r="G230" s="145"/>
      <c r="H230" s="147"/>
      <c r="I230" s="147"/>
      <c r="J230" s="167"/>
      <c r="K230" s="147"/>
      <c r="L230" s="168"/>
      <c r="M230" s="14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8" x14ac:dyDescent="0.3">
      <c r="A231" s="436" t="s">
        <v>227</v>
      </c>
      <c r="B231" s="436" t="s">
        <v>228</v>
      </c>
      <c r="C231" s="436" t="s">
        <v>229</v>
      </c>
      <c r="D231" s="437" t="s">
        <v>230</v>
      </c>
      <c r="E231" s="437" t="s">
        <v>231</v>
      </c>
      <c r="F231" s="437" t="s">
        <v>232</v>
      </c>
      <c r="G231" s="437"/>
      <c r="H231" s="437"/>
      <c r="I231" s="437"/>
      <c r="J231" s="449" t="s">
        <v>9</v>
      </c>
      <c r="K231" s="449" t="s">
        <v>233</v>
      </c>
      <c r="L231" s="447" t="s">
        <v>234</v>
      </c>
      <c r="M231" s="436" t="s">
        <v>18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8" x14ac:dyDescent="0.3">
      <c r="A232" s="436"/>
      <c r="B232" s="436"/>
      <c r="C232" s="436"/>
      <c r="D232" s="437"/>
      <c r="E232" s="437"/>
      <c r="F232" s="150" t="s">
        <v>235</v>
      </c>
      <c r="G232" s="167" t="s">
        <v>236</v>
      </c>
      <c r="H232" s="150" t="s">
        <v>235</v>
      </c>
      <c r="I232" s="167" t="s">
        <v>236</v>
      </c>
      <c r="J232" s="449"/>
      <c r="K232" s="449"/>
      <c r="L232" s="448"/>
      <c r="M232" s="43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8" x14ac:dyDescent="0.3">
      <c r="A233" s="148">
        <v>1</v>
      </c>
      <c r="B233" s="151" t="s">
        <v>237</v>
      </c>
      <c r="C233" s="152" t="s">
        <v>238</v>
      </c>
      <c r="D233" s="153" t="s">
        <v>239</v>
      </c>
      <c r="E233" s="148" t="s">
        <v>256</v>
      </c>
      <c r="F233" s="176">
        <v>45869</v>
      </c>
      <c r="G233" s="161">
        <v>107097.9</v>
      </c>
      <c r="H233" s="176">
        <v>45900</v>
      </c>
      <c r="I233" s="161">
        <v>109484.41</v>
      </c>
      <c r="J233" s="175">
        <v>1</v>
      </c>
      <c r="K233" s="169">
        <f>I233-G233</f>
        <v>2386.5100000000093</v>
      </c>
      <c r="L233" s="180">
        <v>7.78352375215146</v>
      </c>
      <c r="M233" s="170">
        <f>K233*L233*J233</f>
        <v>18575.457269747054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8" x14ac:dyDescent="0.3">
      <c r="A234" s="148"/>
      <c r="B234" s="151"/>
      <c r="C234" s="151"/>
      <c r="D234" s="158"/>
      <c r="E234" s="148"/>
      <c r="F234" s="178"/>
      <c r="G234" s="179"/>
      <c r="H234" s="178"/>
      <c r="I234" s="179"/>
      <c r="J234" s="150"/>
      <c r="K234" s="169"/>
      <c r="L234" s="172"/>
      <c r="M234" s="170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8.75" x14ac:dyDescent="0.3">
      <c r="A235" s="145"/>
      <c r="B235" s="145"/>
      <c r="C235" s="145"/>
      <c r="D235" s="146"/>
      <c r="E235" s="145"/>
      <c r="F235" s="145"/>
      <c r="G235" s="145"/>
      <c r="H235" s="147"/>
      <c r="I235" s="147"/>
      <c r="J235" s="167"/>
      <c r="K235" s="147"/>
      <c r="L235" s="172" t="s">
        <v>241</v>
      </c>
      <c r="M235" s="170">
        <f>SUM(M233:M233)</f>
        <v>18575.457269747054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8" x14ac:dyDescent="0.3">
      <c r="A236" s="444" t="s">
        <v>270</v>
      </c>
      <c r="B236" s="444"/>
      <c r="C236" s="444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8.75" x14ac:dyDescent="0.3">
      <c r="A237" s="445" t="s">
        <v>224</v>
      </c>
      <c r="B237" s="445"/>
      <c r="C237" s="446" t="s">
        <v>244</v>
      </c>
      <c r="D237" s="446"/>
      <c r="E237" s="446"/>
      <c r="F237" s="446"/>
      <c r="G237" s="446"/>
      <c r="H237" s="446"/>
      <c r="I237" s="446"/>
      <c r="J237" s="446"/>
      <c r="K237" s="446"/>
      <c r="L237" s="446"/>
      <c r="M237" s="446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8.75" x14ac:dyDescent="0.3">
      <c r="A238" s="145"/>
      <c r="B238" s="145"/>
      <c r="C238" s="145"/>
      <c r="D238" s="146"/>
      <c r="E238" s="145"/>
      <c r="F238" s="145"/>
      <c r="G238" s="145"/>
      <c r="H238" s="147"/>
      <c r="I238" s="147"/>
      <c r="J238" s="167"/>
      <c r="K238" s="147"/>
      <c r="L238" s="168"/>
      <c r="M238" s="14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8" x14ac:dyDescent="0.3">
      <c r="A239" s="436" t="s">
        <v>227</v>
      </c>
      <c r="B239" s="436" t="s">
        <v>228</v>
      </c>
      <c r="C239" s="436" t="s">
        <v>229</v>
      </c>
      <c r="D239" s="437" t="s">
        <v>230</v>
      </c>
      <c r="E239" s="437" t="s">
        <v>231</v>
      </c>
      <c r="F239" s="437" t="s">
        <v>232</v>
      </c>
      <c r="G239" s="437"/>
      <c r="H239" s="437"/>
      <c r="I239" s="437"/>
      <c r="J239" s="449" t="s">
        <v>9</v>
      </c>
      <c r="K239" s="449" t="s">
        <v>233</v>
      </c>
      <c r="L239" s="447" t="s">
        <v>234</v>
      </c>
      <c r="M239" s="436" t="s">
        <v>18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8" x14ac:dyDescent="0.3">
      <c r="A240" s="436"/>
      <c r="B240" s="436"/>
      <c r="C240" s="436"/>
      <c r="D240" s="437"/>
      <c r="E240" s="437"/>
      <c r="F240" s="150" t="s">
        <v>235</v>
      </c>
      <c r="G240" s="167" t="s">
        <v>236</v>
      </c>
      <c r="H240" s="150" t="s">
        <v>235</v>
      </c>
      <c r="I240" s="167" t="s">
        <v>236</v>
      </c>
      <c r="J240" s="449"/>
      <c r="K240" s="449"/>
      <c r="L240" s="448"/>
      <c r="M240" s="43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8" x14ac:dyDescent="0.3">
      <c r="A241" s="148">
        <v>1</v>
      </c>
      <c r="B241" s="151" t="s">
        <v>237</v>
      </c>
      <c r="C241" s="152" t="s">
        <v>238</v>
      </c>
      <c r="D241" s="153" t="s">
        <v>239</v>
      </c>
      <c r="E241" s="148" t="s">
        <v>256</v>
      </c>
      <c r="F241" s="176">
        <v>45900</v>
      </c>
      <c r="G241" s="161">
        <v>109484.41</v>
      </c>
      <c r="H241" s="176">
        <v>45930</v>
      </c>
      <c r="I241" s="161">
        <v>111453</v>
      </c>
      <c r="J241" s="175">
        <v>1</v>
      </c>
      <c r="K241" s="169">
        <f>I241-G241</f>
        <v>1968.5899999999965</v>
      </c>
      <c r="L241" s="180">
        <f>субаренда!AE6</f>
        <v>11.5641</v>
      </c>
      <c r="M241" s="170">
        <f>K241*L241*J241</f>
        <v>22764.97161899996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8" x14ac:dyDescent="0.3">
      <c r="A242" s="148"/>
      <c r="B242" s="151"/>
      <c r="C242" s="151"/>
      <c r="D242" s="158"/>
      <c r="E242" s="148"/>
      <c r="F242" s="178"/>
      <c r="G242" s="179"/>
      <c r="H242" s="178"/>
      <c r="I242" s="179"/>
      <c r="J242" s="150"/>
      <c r="K242" s="169"/>
      <c r="L242" s="172"/>
      <c r="M242" s="170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8.75" x14ac:dyDescent="0.3">
      <c r="A243" s="145"/>
      <c r="B243" s="145"/>
      <c r="C243" s="145"/>
      <c r="D243" s="146"/>
      <c r="E243" s="145"/>
      <c r="F243" s="145"/>
      <c r="G243" s="145"/>
      <c r="H243" s="147"/>
      <c r="I243" s="147"/>
      <c r="J243" s="167"/>
      <c r="K243" s="147"/>
      <c r="L243" s="172" t="s">
        <v>241</v>
      </c>
      <c r="M243" s="170">
        <f>SUM(M241:M241)</f>
        <v>22764.97161899996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8" x14ac:dyDescent="0.3">
      <c r="A244" s="444" t="s">
        <v>271</v>
      </c>
      <c r="B244" s="444"/>
      <c r="C244" s="444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8.75" x14ac:dyDescent="0.3">
      <c r="A245" s="445" t="s">
        <v>224</v>
      </c>
      <c r="B245" s="445"/>
      <c r="C245" s="446" t="s">
        <v>244</v>
      </c>
      <c r="D245" s="446"/>
      <c r="E245" s="446"/>
      <c r="F245" s="446"/>
      <c r="G245" s="446"/>
      <c r="H245" s="446"/>
      <c r="I245" s="446"/>
      <c r="J245" s="446"/>
      <c r="K245" s="446"/>
      <c r="L245" s="446"/>
      <c r="M245" s="446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8.75" x14ac:dyDescent="0.3">
      <c r="A246" s="145"/>
      <c r="B246" s="145"/>
      <c r="C246" s="145"/>
      <c r="D246" s="146"/>
      <c r="E246" s="145"/>
      <c r="F246" s="145"/>
      <c r="G246" s="145"/>
      <c r="H246" s="147"/>
      <c r="I246" s="147"/>
      <c r="J246" s="167"/>
      <c r="K246" s="147"/>
      <c r="L246" s="168"/>
      <c r="M246" s="14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8" x14ac:dyDescent="0.3">
      <c r="A247" s="436" t="s">
        <v>227</v>
      </c>
      <c r="B247" s="436" t="s">
        <v>228</v>
      </c>
      <c r="C247" s="436" t="s">
        <v>229</v>
      </c>
      <c r="D247" s="437" t="s">
        <v>230</v>
      </c>
      <c r="E247" s="437" t="s">
        <v>231</v>
      </c>
      <c r="F247" s="437" t="s">
        <v>232</v>
      </c>
      <c r="G247" s="437"/>
      <c r="H247" s="437"/>
      <c r="I247" s="437"/>
      <c r="J247" s="449" t="s">
        <v>9</v>
      </c>
      <c r="K247" s="449" t="s">
        <v>233</v>
      </c>
      <c r="L247" s="447" t="s">
        <v>234</v>
      </c>
      <c r="M247" s="436" t="s">
        <v>18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8" x14ac:dyDescent="0.3">
      <c r="A248" s="436"/>
      <c r="B248" s="436"/>
      <c r="C248" s="436"/>
      <c r="D248" s="437"/>
      <c r="E248" s="437"/>
      <c r="F248" s="150" t="s">
        <v>235</v>
      </c>
      <c r="G248" s="167" t="s">
        <v>236</v>
      </c>
      <c r="H248" s="150" t="s">
        <v>235</v>
      </c>
      <c r="I248" s="167" t="s">
        <v>236</v>
      </c>
      <c r="J248" s="449"/>
      <c r="K248" s="449"/>
      <c r="L248" s="448"/>
      <c r="M248" s="43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8" x14ac:dyDescent="0.3">
      <c r="A249" s="148">
        <v>1</v>
      </c>
      <c r="B249" s="151" t="s">
        <v>237</v>
      </c>
      <c r="C249" s="152" t="s">
        <v>238</v>
      </c>
      <c r="D249" s="153" t="s">
        <v>239</v>
      </c>
      <c r="E249" s="148" t="s">
        <v>256</v>
      </c>
      <c r="F249" s="176">
        <v>45930</v>
      </c>
      <c r="G249" s="161">
        <v>111453</v>
      </c>
      <c r="H249" s="176">
        <v>45961</v>
      </c>
      <c r="I249" s="161">
        <v>113067.95</v>
      </c>
      <c r="J249" s="175">
        <v>1</v>
      </c>
      <c r="K249" s="169">
        <f>I249-G249</f>
        <v>1614.9499999999971</v>
      </c>
      <c r="L249" s="180">
        <v>9.1250878010877994</v>
      </c>
      <c r="M249" s="170">
        <f>K249*L249*J249</f>
        <v>14736.560544366715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8" x14ac:dyDescent="0.3">
      <c r="A250" s="148"/>
      <c r="B250" s="151"/>
      <c r="C250" s="151"/>
      <c r="D250" s="158"/>
      <c r="E250" s="148"/>
      <c r="F250" s="178"/>
      <c r="G250" s="179"/>
      <c r="H250" s="178"/>
      <c r="I250" s="179"/>
      <c r="J250" s="150"/>
      <c r="K250" s="169"/>
      <c r="L250" s="172"/>
      <c r="M250" s="170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8.75" x14ac:dyDescent="0.3">
      <c r="A251" s="145"/>
      <c r="B251" s="145"/>
      <c r="C251" s="145"/>
      <c r="D251" s="146"/>
      <c r="E251" s="145"/>
      <c r="F251" s="145"/>
      <c r="G251" s="145"/>
      <c r="H251" s="147"/>
      <c r="I251" s="147"/>
      <c r="J251" s="167"/>
      <c r="K251" s="147"/>
      <c r="L251" s="172" t="s">
        <v>241</v>
      </c>
      <c r="M251" s="170">
        <f>SUM(M249:M249)</f>
        <v>14736.560544366715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8" x14ac:dyDescent="0.3">
      <c r="A252" s="444" t="s">
        <v>272</v>
      </c>
      <c r="B252" s="444"/>
      <c r="C252" s="444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8.75" x14ac:dyDescent="0.3">
      <c r="A253" s="445" t="s">
        <v>224</v>
      </c>
      <c r="B253" s="445"/>
      <c r="C253" s="446" t="s">
        <v>244</v>
      </c>
      <c r="D253" s="446"/>
      <c r="E253" s="446"/>
      <c r="F253" s="446"/>
      <c r="G253" s="446"/>
      <c r="H253" s="446"/>
      <c r="I253" s="446"/>
      <c r="J253" s="446"/>
      <c r="K253" s="446"/>
      <c r="L253" s="446"/>
      <c r="M253" s="446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8.75" x14ac:dyDescent="0.3">
      <c r="A254" s="145"/>
      <c r="B254" s="145"/>
      <c r="C254" s="145"/>
      <c r="D254" s="146"/>
      <c r="E254" s="145"/>
      <c r="F254" s="145"/>
      <c r="G254" s="145"/>
      <c r="H254" s="147"/>
      <c r="I254" s="147"/>
      <c r="J254" s="167"/>
      <c r="K254" s="147"/>
      <c r="L254" s="168"/>
      <c r="M254" s="14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8" x14ac:dyDescent="0.3">
      <c r="A255" s="436" t="s">
        <v>227</v>
      </c>
      <c r="B255" s="436" t="s">
        <v>228</v>
      </c>
      <c r="C255" s="436" t="s">
        <v>229</v>
      </c>
      <c r="D255" s="437" t="s">
        <v>230</v>
      </c>
      <c r="E255" s="437" t="s">
        <v>231</v>
      </c>
      <c r="F255" s="437" t="s">
        <v>232</v>
      </c>
      <c r="G255" s="437"/>
      <c r="H255" s="437"/>
      <c r="I255" s="437"/>
      <c r="J255" s="449" t="s">
        <v>9</v>
      </c>
      <c r="K255" s="449" t="s">
        <v>233</v>
      </c>
      <c r="L255" s="447" t="s">
        <v>234</v>
      </c>
      <c r="M255" s="436" t="s">
        <v>18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8" x14ac:dyDescent="0.3">
      <c r="A256" s="436"/>
      <c r="B256" s="436"/>
      <c r="C256" s="436"/>
      <c r="D256" s="437"/>
      <c r="E256" s="437"/>
      <c r="F256" s="150" t="s">
        <v>235</v>
      </c>
      <c r="G256" s="167" t="s">
        <v>236</v>
      </c>
      <c r="H256" s="150" t="s">
        <v>235</v>
      </c>
      <c r="I256" s="167" t="s">
        <v>236</v>
      </c>
      <c r="J256" s="449"/>
      <c r="K256" s="449"/>
      <c r="L256" s="448"/>
      <c r="M256" s="43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8" x14ac:dyDescent="0.3">
      <c r="A257" s="148">
        <v>1</v>
      </c>
      <c r="B257" s="151" t="s">
        <v>237</v>
      </c>
      <c r="C257" s="152" t="s">
        <v>238</v>
      </c>
      <c r="D257" s="153" t="s">
        <v>239</v>
      </c>
      <c r="E257" s="148" t="s">
        <v>256</v>
      </c>
      <c r="F257" s="176">
        <v>45961</v>
      </c>
      <c r="G257" s="161">
        <v>113067.95</v>
      </c>
      <c r="H257" s="176">
        <v>45991</v>
      </c>
      <c r="I257" s="161">
        <v>114725.11</v>
      </c>
      <c r="J257" s="175">
        <v>1</v>
      </c>
      <c r="K257" s="169">
        <f>I257-G257</f>
        <v>1657.1600000000035</v>
      </c>
      <c r="L257" s="180">
        <v>9.7088523192360192</v>
      </c>
      <c r="M257" s="170">
        <f>K257*L257*J257</f>
        <v>16089.121709345196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8" x14ac:dyDescent="0.3">
      <c r="A258" s="148"/>
      <c r="B258" s="151"/>
      <c r="C258" s="151"/>
      <c r="D258" s="158"/>
      <c r="E258" s="148"/>
      <c r="F258" s="178"/>
      <c r="G258" s="179"/>
      <c r="H258" s="178"/>
      <c r="I258" s="179"/>
      <c r="J258" s="150"/>
      <c r="K258" s="169"/>
      <c r="L258" s="172"/>
      <c r="M258" s="170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8.75" x14ac:dyDescent="0.3">
      <c r="A259" s="145"/>
      <c r="B259" s="145"/>
      <c r="C259" s="145"/>
      <c r="D259" s="146"/>
      <c r="E259" s="145"/>
      <c r="F259" s="145"/>
      <c r="G259" s="145"/>
      <c r="H259" s="147"/>
      <c r="I259" s="147"/>
      <c r="J259" s="167"/>
      <c r="K259" s="147"/>
      <c r="L259" s="172" t="s">
        <v>241</v>
      </c>
      <c r="M259" s="170">
        <f>SUM(M257:M257)</f>
        <v>16089.121709345196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8" x14ac:dyDescent="0.3">
      <c r="A260" s="444" t="s">
        <v>273</v>
      </c>
      <c r="B260" s="444"/>
      <c r="C260" s="444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8.75" x14ac:dyDescent="0.3">
      <c r="A261" s="445" t="s">
        <v>224</v>
      </c>
      <c r="B261" s="445"/>
      <c r="C261" s="446" t="s">
        <v>244</v>
      </c>
      <c r="D261" s="446"/>
      <c r="E261" s="446"/>
      <c r="F261" s="446"/>
      <c r="G261" s="446"/>
      <c r="H261" s="446"/>
      <c r="I261" s="446"/>
      <c r="J261" s="446"/>
      <c r="K261" s="446"/>
      <c r="L261" s="446"/>
      <c r="M261" s="446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8.75" x14ac:dyDescent="0.3">
      <c r="A262" s="145"/>
      <c r="B262" s="145"/>
      <c r="C262" s="145"/>
      <c r="D262" s="146"/>
      <c r="E262" s="145"/>
      <c r="F262" s="145"/>
      <c r="G262" s="145"/>
      <c r="H262" s="147"/>
      <c r="I262" s="147"/>
      <c r="J262" s="167"/>
      <c r="K262" s="147"/>
      <c r="L262" s="168"/>
      <c r="M262" s="145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8" x14ac:dyDescent="0.3">
      <c r="A263" s="436" t="s">
        <v>227</v>
      </c>
      <c r="B263" s="436" t="s">
        <v>228</v>
      </c>
      <c r="C263" s="436" t="s">
        <v>229</v>
      </c>
      <c r="D263" s="437" t="s">
        <v>230</v>
      </c>
      <c r="E263" s="437" t="s">
        <v>231</v>
      </c>
      <c r="F263" s="437" t="s">
        <v>232</v>
      </c>
      <c r="G263" s="437"/>
      <c r="H263" s="437"/>
      <c r="I263" s="437"/>
      <c r="J263" s="449" t="s">
        <v>9</v>
      </c>
      <c r="K263" s="449" t="s">
        <v>233</v>
      </c>
      <c r="L263" s="447" t="s">
        <v>234</v>
      </c>
      <c r="M263" s="436" t="s">
        <v>18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8" x14ac:dyDescent="0.3">
      <c r="A264" s="436"/>
      <c r="B264" s="436"/>
      <c r="C264" s="436"/>
      <c r="D264" s="437"/>
      <c r="E264" s="437"/>
      <c r="F264" s="150" t="s">
        <v>235</v>
      </c>
      <c r="G264" s="167" t="s">
        <v>236</v>
      </c>
      <c r="H264" s="150" t="s">
        <v>235</v>
      </c>
      <c r="I264" s="167" t="s">
        <v>236</v>
      </c>
      <c r="J264" s="449"/>
      <c r="K264" s="449"/>
      <c r="L264" s="448"/>
      <c r="M264" s="437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8" x14ac:dyDescent="0.3">
      <c r="A265" s="148">
        <v>1</v>
      </c>
      <c r="B265" s="151" t="s">
        <v>237</v>
      </c>
      <c r="C265" s="152" t="s">
        <v>238</v>
      </c>
      <c r="D265" s="153" t="s">
        <v>239</v>
      </c>
      <c r="E265" s="148" t="s">
        <v>256</v>
      </c>
      <c r="F265" s="176">
        <v>45991</v>
      </c>
      <c r="G265" s="161">
        <v>114725.11</v>
      </c>
      <c r="H265" s="176">
        <v>46022</v>
      </c>
      <c r="I265" s="161">
        <v>116449.94</v>
      </c>
      <c r="J265" s="175">
        <v>1</v>
      </c>
      <c r="K265" s="169">
        <f>I265-G265</f>
        <v>1724.8300000000017</v>
      </c>
      <c r="L265" s="180">
        <f>субаренда!AE6</f>
        <v>11.5641</v>
      </c>
      <c r="M265" s="170">
        <f>K265*L265*J265</f>
        <v>19946.106603000018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8" x14ac:dyDescent="0.3">
      <c r="A266" s="148"/>
      <c r="B266" s="151"/>
      <c r="C266" s="151"/>
      <c r="D266" s="158"/>
      <c r="E266" s="148"/>
      <c r="F266" s="178"/>
      <c r="G266" s="179"/>
      <c r="H266" s="178"/>
      <c r="I266" s="179"/>
      <c r="J266" s="150"/>
      <c r="K266" s="169"/>
      <c r="L266" s="172"/>
      <c r="M266" s="170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8.75" x14ac:dyDescent="0.3">
      <c r="A267" s="145"/>
      <c r="B267" s="145"/>
      <c r="C267" s="145"/>
      <c r="D267" s="146"/>
      <c r="E267" s="145"/>
      <c r="F267" s="145"/>
      <c r="G267" s="145"/>
      <c r="H267" s="147"/>
      <c r="I267" s="147"/>
      <c r="J267" s="167"/>
      <c r="K267" s="147"/>
      <c r="L267" s="172" t="s">
        <v>241</v>
      </c>
      <c r="M267" s="170">
        <f>SUM(M265:M265)</f>
        <v>19946.106603000018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6.5" x14ac:dyDescent="0.3">
      <c r="A268" s="2"/>
      <c r="B268" s="2"/>
      <c r="C268" s="2"/>
      <c r="D268" s="4"/>
      <c r="E268" s="2"/>
      <c r="F268" s="2"/>
      <c r="G268" s="2"/>
      <c r="H268" s="77"/>
      <c r="I268" s="77"/>
      <c r="J268" s="163"/>
      <c r="K268" s="77"/>
      <c r="L268" s="16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8" x14ac:dyDescent="0.3">
      <c r="A269" s="450" t="s">
        <v>389</v>
      </c>
      <c r="B269" s="444"/>
      <c r="C269" s="444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8.75" x14ac:dyDescent="0.3">
      <c r="A270" s="445" t="s">
        <v>224</v>
      </c>
      <c r="B270" s="445"/>
      <c r="C270" s="446" t="s">
        <v>244</v>
      </c>
      <c r="D270" s="446"/>
      <c r="E270" s="446"/>
      <c r="F270" s="446"/>
      <c r="G270" s="446"/>
      <c r="H270" s="446"/>
      <c r="I270" s="446"/>
      <c r="J270" s="446"/>
      <c r="K270" s="446"/>
      <c r="L270" s="446"/>
      <c r="M270" s="446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8.75" x14ac:dyDescent="0.3">
      <c r="A271" s="145"/>
      <c r="B271" s="145"/>
      <c r="C271" s="145"/>
      <c r="D271" s="146"/>
      <c r="E271" s="145"/>
      <c r="F271" s="145"/>
      <c r="G271" s="145"/>
      <c r="H271" s="147"/>
      <c r="I271" s="147"/>
      <c r="J271" s="167"/>
      <c r="K271" s="147"/>
      <c r="L271" s="168"/>
      <c r="M271" s="145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8" x14ac:dyDescent="0.3">
      <c r="A272" s="436" t="s">
        <v>227</v>
      </c>
      <c r="B272" s="436" t="s">
        <v>228</v>
      </c>
      <c r="C272" s="436" t="s">
        <v>229</v>
      </c>
      <c r="D272" s="437" t="s">
        <v>230</v>
      </c>
      <c r="E272" s="437" t="s">
        <v>231</v>
      </c>
      <c r="F272" s="437" t="s">
        <v>232</v>
      </c>
      <c r="G272" s="437"/>
      <c r="H272" s="437"/>
      <c r="I272" s="437"/>
      <c r="J272" s="449" t="s">
        <v>9</v>
      </c>
      <c r="K272" s="449" t="s">
        <v>233</v>
      </c>
      <c r="L272" s="447" t="s">
        <v>234</v>
      </c>
      <c r="M272" s="436" t="s">
        <v>18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8" x14ac:dyDescent="0.3">
      <c r="A273" s="436"/>
      <c r="B273" s="436"/>
      <c r="C273" s="436"/>
      <c r="D273" s="437"/>
      <c r="E273" s="437"/>
      <c r="F273" s="150" t="s">
        <v>235</v>
      </c>
      <c r="G273" s="167" t="s">
        <v>236</v>
      </c>
      <c r="H273" s="150" t="s">
        <v>235</v>
      </c>
      <c r="I273" s="167" t="s">
        <v>236</v>
      </c>
      <c r="J273" s="449"/>
      <c r="K273" s="449"/>
      <c r="L273" s="448"/>
      <c r="M273" s="437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8" x14ac:dyDescent="0.3">
      <c r="A274" s="148">
        <v>1</v>
      </c>
      <c r="B274" s="151" t="s">
        <v>237</v>
      </c>
      <c r="C274" s="152" t="s">
        <v>238</v>
      </c>
      <c r="D274" s="153" t="s">
        <v>239</v>
      </c>
      <c r="E274" s="148" t="s">
        <v>256</v>
      </c>
      <c r="F274" s="176">
        <v>46022</v>
      </c>
      <c r="G274" s="161">
        <v>116449.94</v>
      </c>
      <c r="H274" s="176">
        <v>46053</v>
      </c>
      <c r="I274" s="161">
        <v>119100.72</v>
      </c>
      <c r="J274" s="175">
        <v>1</v>
      </c>
      <c r="K274" s="169">
        <f>I274-G274</f>
        <v>2650.7799999999988</v>
      </c>
      <c r="L274" s="180">
        <v>11.564099999999998</v>
      </c>
      <c r="M274" s="170">
        <f>K274*L274*J274</f>
        <v>30653.884997999983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>
        <f>1.2*9.63675</f>
        <v>11.564099999999998</v>
      </c>
      <c r="Z274" s="2"/>
      <c r="AA274" s="2"/>
      <c r="AB274" s="2"/>
    </row>
    <row r="275" spans="1:28" ht="18" x14ac:dyDescent="0.3">
      <c r="A275" s="148"/>
      <c r="B275" s="151"/>
      <c r="C275" s="151"/>
      <c r="D275" s="158"/>
      <c r="E275" s="148"/>
      <c r="F275" s="178"/>
      <c r="G275" s="179"/>
      <c r="H275" s="178"/>
      <c r="I275" s="179"/>
      <c r="J275" s="150"/>
      <c r="K275" s="169"/>
      <c r="L275" s="172"/>
      <c r="M275" s="170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8.75" x14ac:dyDescent="0.3">
      <c r="A276" s="145"/>
      <c r="B276" s="145"/>
      <c r="C276" s="145"/>
      <c r="D276" s="146"/>
      <c r="E276" s="145"/>
      <c r="F276" s="145"/>
      <c r="G276" s="145"/>
      <c r="H276" s="147"/>
      <c r="I276" s="147"/>
      <c r="J276" s="167"/>
      <c r="K276" s="147"/>
      <c r="L276" s="172" t="s">
        <v>241</v>
      </c>
      <c r="M276" s="170">
        <f>SUM(M274:M274)</f>
        <v>30653.884997999983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6.5" x14ac:dyDescent="0.3">
      <c r="A277" s="2"/>
      <c r="B277" s="2"/>
      <c r="C277" s="2"/>
      <c r="D277" s="4"/>
      <c r="E277" s="2"/>
      <c r="F277" s="2"/>
      <c r="G277" s="2"/>
      <c r="H277" s="77"/>
      <c r="I277" s="77"/>
      <c r="J277" s="163"/>
      <c r="K277" s="77"/>
      <c r="L277" s="16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6.5" x14ac:dyDescent="0.3">
      <c r="A278" s="2"/>
      <c r="B278" s="2"/>
      <c r="C278" s="2"/>
      <c r="D278" s="4"/>
      <c r="E278" s="2"/>
      <c r="F278" s="2"/>
      <c r="G278" s="2"/>
      <c r="H278" s="77"/>
      <c r="I278" s="77"/>
      <c r="J278" s="163"/>
      <c r="K278" s="77"/>
      <c r="L278" s="16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6.5" x14ac:dyDescent="0.3">
      <c r="A279" s="2"/>
      <c r="B279" s="2"/>
      <c r="C279" s="2"/>
      <c r="D279" s="4"/>
      <c r="E279" s="2"/>
      <c r="F279" s="2"/>
      <c r="G279" s="2"/>
      <c r="H279" s="77"/>
      <c r="I279" s="77"/>
      <c r="J279" s="163"/>
      <c r="K279" s="77"/>
      <c r="L279" s="16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6.5" x14ac:dyDescent="0.3">
      <c r="A280" s="2"/>
      <c r="B280" s="2"/>
      <c r="C280" s="2"/>
      <c r="D280" s="4"/>
      <c r="E280" s="2"/>
      <c r="F280" s="2"/>
      <c r="G280" s="2"/>
      <c r="H280" s="77"/>
      <c r="I280" s="77"/>
      <c r="J280" s="163"/>
      <c r="K280" s="77"/>
      <c r="L280" s="16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6.5" x14ac:dyDescent="0.3">
      <c r="A281" s="2"/>
      <c r="B281" s="2"/>
      <c r="C281" s="2"/>
      <c r="D281" s="4"/>
      <c r="E281" s="2"/>
      <c r="F281" s="2"/>
      <c r="G281" s="2"/>
      <c r="H281" s="77"/>
      <c r="I281" s="77"/>
      <c r="J281" s="163"/>
      <c r="K281" s="77"/>
      <c r="L281" s="16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6.5" x14ac:dyDescent="0.3">
      <c r="A282" s="2"/>
      <c r="B282" s="2"/>
      <c r="C282" s="2"/>
      <c r="D282" s="4"/>
      <c r="E282" s="2"/>
      <c r="F282" s="2"/>
      <c r="G282" s="2"/>
      <c r="H282" s="77"/>
      <c r="I282" s="77"/>
      <c r="J282" s="163"/>
      <c r="K282" s="77"/>
      <c r="L282" s="16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6.5" x14ac:dyDescent="0.3">
      <c r="A283" s="2"/>
      <c r="B283" s="2"/>
      <c r="C283" s="2"/>
      <c r="D283" s="4"/>
      <c r="E283" s="2"/>
      <c r="F283" s="2"/>
      <c r="G283" s="2"/>
      <c r="H283" s="77"/>
      <c r="I283" s="77"/>
      <c r="J283" s="163"/>
      <c r="K283" s="77"/>
      <c r="L283" s="16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6.5" x14ac:dyDescent="0.3">
      <c r="A284" s="2"/>
      <c r="B284" s="2"/>
      <c r="C284" s="2"/>
      <c r="D284" s="4"/>
      <c r="E284" s="2"/>
      <c r="F284" s="2"/>
      <c r="G284" s="2"/>
      <c r="H284" s="77"/>
      <c r="I284" s="77"/>
      <c r="J284" s="163"/>
      <c r="K284" s="77"/>
      <c r="L284" s="16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6.5" x14ac:dyDescent="0.3">
      <c r="A285" s="2"/>
      <c r="B285" s="2"/>
      <c r="C285" s="2"/>
      <c r="D285" s="4"/>
      <c r="E285" s="2"/>
      <c r="F285" s="2"/>
      <c r="G285" s="2"/>
      <c r="H285" s="77"/>
      <c r="I285" s="77"/>
      <c r="J285" s="163"/>
      <c r="K285" s="77"/>
      <c r="L285" s="16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6.5" x14ac:dyDescent="0.3">
      <c r="A286" s="2"/>
      <c r="B286" s="2"/>
      <c r="C286" s="2"/>
      <c r="D286" s="4"/>
      <c r="E286" s="2"/>
      <c r="F286" s="2"/>
      <c r="G286" s="2"/>
      <c r="H286" s="77"/>
      <c r="I286" s="77"/>
      <c r="J286" s="163"/>
      <c r="K286" s="77"/>
      <c r="L286" s="16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6.5" x14ac:dyDescent="0.3">
      <c r="A287" s="2"/>
      <c r="B287" s="2"/>
      <c r="C287" s="2"/>
      <c r="D287" s="4"/>
      <c r="E287" s="2"/>
      <c r="F287" s="2"/>
      <c r="G287" s="2"/>
      <c r="H287" s="77"/>
      <c r="I287" s="77"/>
      <c r="J287" s="163"/>
      <c r="K287" s="77"/>
      <c r="L287" s="16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6.5" x14ac:dyDescent="0.3">
      <c r="A288" s="2"/>
      <c r="B288" s="2"/>
      <c r="C288" s="2"/>
      <c r="D288" s="4"/>
      <c r="E288" s="2"/>
      <c r="F288" s="2"/>
      <c r="G288" s="2"/>
      <c r="H288" s="77"/>
      <c r="I288" s="77"/>
      <c r="J288" s="163"/>
      <c r="K288" s="77"/>
      <c r="L288" s="16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6.5" x14ac:dyDescent="0.3">
      <c r="A289" s="2"/>
      <c r="B289" s="2"/>
      <c r="C289" s="2"/>
      <c r="D289" s="4"/>
      <c r="E289" s="2"/>
      <c r="F289" s="2"/>
      <c r="G289" s="2"/>
      <c r="H289" s="77"/>
      <c r="I289" s="77"/>
      <c r="J289" s="163"/>
      <c r="K289" s="77"/>
      <c r="L289" s="16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6.5" x14ac:dyDescent="0.3">
      <c r="A290" s="2"/>
      <c r="B290" s="2"/>
      <c r="C290" s="2"/>
      <c r="D290" s="4"/>
      <c r="E290" s="2"/>
      <c r="F290" s="2"/>
      <c r="G290" s="2"/>
      <c r="H290" s="77"/>
      <c r="I290" s="77"/>
      <c r="J290" s="163"/>
      <c r="K290" s="77"/>
      <c r="L290" s="16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6.5" x14ac:dyDescent="0.3">
      <c r="A291" s="2"/>
      <c r="B291" s="2"/>
      <c r="C291" s="2"/>
      <c r="D291" s="4"/>
      <c r="E291" s="2"/>
      <c r="F291" s="2"/>
      <c r="G291" s="2"/>
      <c r="H291" s="77"/>
      <c r="I291" s="77"/>
      <c r="J291" s="163"/>
      <c r="K291" s="77"/>
      <c r="L291" s="16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6.5" x14ac:dyDescent="0.3">
      <c r="A292" s="2"/>
      <c r="B292" s="2"/>
      <c r="C292" s="2"/>
      <c r="D292" s="4"/>
      <c r="E292" s="2"/>
      <c r="F292" s="2"/>
      <c r="G292" s="2"/>
      <c r="H292" s="77"/>
      <c r="I292" s="77"/>
      <c r="J292" s="163"/>
      <c r="K292" s="77"/>
      <c r="L292" s="16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6.5" x14ac:dyDescent="0.3">
      <c r="A293" s="2"/>
      <c r="B293" s="2"/>
      <c r="C293" s="2"/>
      <c r="D293" s="4"/>
      <c r="E293" s="2"/>
      <c r="F293" s="2"/>
      <c r="G293" s="2"/>
      <c r="H293" s="77"/>
      <c r="I293" s="77"/>
      <c r="J293" s="163"/>
      <c r="K293" s="77"/>
      <c r="L293" s="16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6.5" x14ac:dyDescent="0.3">
      <c r="A294" s="2"/>
      <c r="B294" s="2"/>
      <c r="C294" s="2"/>
      <c r="D294" s="4"/>
      <c r="E294" s="2"/>
      <c r="F294" s="2"/>
      <c r="G294" s="2"/>
      <c r="H294" s="77"/>
      <c r="I294" s="77"/>
      <c r="J294" s="163"/>
      <c r="K294" s="77"/>
      <c r="L294" s="16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6.5" x14ac:dyDescent="0.3">
      <c r="A295" s="2"/>
      <c r="B295" s="2"/>
      <c r="C295" s="2"/>
      <c r="D295" s="4"/>
      <c r="E295" s="2"/>
      <c r="F295" s="2"/>
      <c r="G295" s="2"/>
      <c r="H295" s="77"/>
      <c r="I295" s="77"/>
      <c r="J295" s="163"/>
      <c r="K295" s="77"/>
      <c r="L295" s="16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6.5" x14ac:dyDescent="0.3">
      <c r="A296" s="2"/>
      <c r="B296" s="2"/>
      <c r="C296" s="2"/>
      <c r="D296" s="4"/>
      <c r="E296" s="2"/>
      <c r="F296" s="2"/>
      <c r="G296" s="2"/>
      <c r="H296" s="77"/>
      <c r="I296" s="77"/>
      <c r="J296" s="163"/>
      <c r="K296" s="77"/>
      <c r="L296" s="16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6.5" x14ac:dyDescent="0.3">
      <c r="A297" s="2"/>
      <c r="B297" s="2"/>
      <c r="C297" s="2"/>
      <c r="D297" s="4"/>
      <c r="E297" s="2"/>
      <c r="F297" s="2"/>
      <c r="G297" s="2"/>
      <c r="H297" s="77"/>
      <c r="I297" s="77"/>
      <c r="J297" s="163"/>
      <c r="K297" s="77"/>
      <c r="L297" s="16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6.5" x14ac:dyDescent="0.3">
      <c r="A298" s="2"/>
      <c r="B298" s="2"/>
      <c r="C298" s="2"/>
      <c r="D298" s="4"/>
      <c r="E298" s="2"/>
      <c r="F298" s="2"/>
      <c r="G298" s="2"/>
      <c r="H298" s="77"/>
      <c r="I298" s="77"/>
      <c r="J298" s="163"/>
      <c r="K298" s="77"/>
      <c r="L298" s="16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6.5" x14ac:dyDescent="0.3">
      <c r="A299" s="2"/>
      <c r="B299" s="2"/>
      <c r="C299" s="2"/>
      <c r="D299" s="4"/>
      <c r="E299" s="2"/>
      <c r="F299" s="2"/>
      <c r="G299" s="2"/>
      <c r="H299" s="77"/>
      <c r="I299" s="77"/>
      <c r="J299" s="163"/>
      <c r="K299" s="77"/>
      <c r="L299" s="16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6.5" x14ac:dyDescent="0.3">
      <c r="A300" s="2"/>
      <c r="B300" s="2"/>
      <c r="C300" s="2"/>
      <c r="D300" s="4"/>
      <c r="E300" s="2"/>
      <c r="F300" s="2"/>
      <c r="G300" s="2"/>
      <c r="H300" s="77"/>
      <c r="I300" s="77"/>
      <c r="J300" s="163"/>
      <c r="K300" s="77"/>
      <c r="L300" s="16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6.5" x14ac:dyDescent="0.3">
      <c r="A301" s="2"/>
      <c r="B301" s="2"/>
      <c r="C301" s="2"/>
      <c r="D301" s="4"/>
      <c r="E301" s="2"/>
      <c r="F301" s="2"/>
      <c r="G301" s="2"/>
      <c r="H301" s="77"/>
      <c r="I301" s="77"/>
      <c r="J301" s="163"/>
      <c r="K301" s="77"/>
      <c r="L301" s="16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6.5" x14ac:dyDescent="0.3">
      <c r="A302" s="2"/>
      <c r="B302" s="2"/>
      <c r="C302" s="2"/>
      <c r="D302" s="4"/>
      <c r="E302" s="2"/>
      <c r="F302" s="2"/>
      <c r="G302" s="2"/>
      <c r="H302" s="77"/>
      <c r="I302" s="77"/>
      <c r="J302" s="163"/>
      <c r="K302" s="77"/>
      <c r="L302" s="16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6.5" x14ac:dyDescent="0.3">
      <c r="A303" s="2"/>
      <c r="B303" s="2"/>
      <c r="C303" s="2"/>
      <c r="D303" s="4"/>
      <c r="E303" s="2"/>
      <c r="F303" s="2"/>
      <c r="G303" s="2"/>
      <c r="H303" s="77"/>
      <c r="I303" s="77"/>
      <c r="J303" s="163"/>
      <c r="K303" s="77"/>
      <c r="L303" s="16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6.5" x14ac:dyDescent="0.3">
      <c r="A304" s="2"/>
      <c r="B304" s="2"/>
      <c r="C304" s="2"/>
      <c r="D304" s="4"/>
      <c r="E304" s="2"/>
      <c r="F304" s="2"/>
      <c r="G304" s="2"/>
      <c r="H304" s="77"/>
      <c r="I304" s="77"/>
      <c r="J304" s="163"/>
      <c r="K304" s="77"/>
      <c r="L304" s="16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6.5" x14ac:dyDescent="0.3">
      <c r="A305" s="2"/>
      <c r="B305" s="2"/>
      <c r="C305" s="2"/>
      <c r="D305" s="4"/>
      <c r="E305" s="2"/>
      <c r="F305" s="2"/>
      <c r="G305" s="2"/>
      <c r="H305" s="77"/>
      <c r="I305" s="77"/>
      <c r="J305" s="163"/>
      <c r="K305" s="77"/>
      <c r="L305" s="16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6.5" x14ac:dyDescent="0.3">
      <c r="A306" s="2"/>
      <c r="B306" s="2"/>
      <c r="C306" s="2"/>
      <c r="D306" s="4"/>
      <c r="E306" s="2"/>
      <c r="F306" s="2"/>
      <c r="G306" s="2"/>
      <c r="H306" s="77"/>
      <c r="I306" s="77"/>
      <c r="J306" s="163"/>
      <c r="K306" s="77"/>
      <c r="L306" s="16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6.5" x14ac:dyDescent="0.3">
      <c r="A307" s="2"/>
      <c r="B307" s="2"/>
      <c r="C307" s="2"/>
      <c r="D307" s="4"/>
      <c r="E307" s="2"/>
      <c r="F307" s="2"/>
      <c r="G307" s="2"/>
      <c r="H307" s="77"/>
      <c r="I307" s="77"/>
      <c r="J307" s="163"/>
      <c r="K307" s="77"/>
      <c r="L307" s="16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6.5" x14ac:dyDescent="0.3">
      <c r="A308" s="2"/>
      <c r="B308" s="2"/>
      <c r="C308" s="2"/>
      <c r="D308" s="4"/>
      <c r="E308" s="2"/>
      <c r="F308" s="2"/>
      <c r="G308" s="2"/>
      <c r="H308" s="77"/>
      <c r="I308" s="77"/>
      <c r="J308" s="163"/>
      <c r="K308" s="77"/>
      <c r="L308" s="16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6.5" x14ac:dyDescent="0.3">
      <c r="A309" s="2"/>
      <c r="B309" s="2"/>
      <c r="C309" s="2"/>
      <c r="D309" s="4"/>
      <c r="E309" s="2"/>
      <c r="F309" s="2"/>
      <c r="G309" s="2"/>
      <c r="H309" s="77"/>
      <c r="I309" s="77"/>
      <c r="J309" s="163"/>
      <c r="K309" s="77"/>
      <c r="L309" s="16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6.5" x14ac:dyDescent="0.3">
      <c r="A310" s="2"/>
      <c r="B310" s="2"/>
      <c r="C310" s="2"/>
      <c r="D310" s="4"/>
      <c r="E310" s="2"/>
      <c r="F310" s="2"/>
      <c r="G310" s="2"/>
      <c r="H310" s="77"/>
      <c r="I310" s="77"/>
      <c r="J310" s="163"/>
      <c r="K310" s="77"/>
      <c r="L310" s="16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6.5" x14ac:dyDescent="0.3">
      <c r="A311" s="2"/>
      <c r="B311" s="2"/>
      <c r="C311" s="2"/>
      <c r="D311" s="4"/>
      <c r="E311" s="2"/>
      <c r="F311" s="2"/>
      <c r="G311" s="2"/>
      <c r="H311" s="77"/>
      <c r="I311" s="77"/>
      <c r="J311" s="163"/>
      <c r="K311" s="77"/>
      <c r="L311" s="16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6.5" x14ac:dyDescent="0.3">
      <c r="A312" s="2"/>
      <c r="B312" s="2"/>
      <c r="C312" s="2"/>
      <c r="D312" s="4"/>
      <c r="E312" s="2"/>
      <c r="F312" s="2"/>
      <c r="G312" s="2"/>
      <c r="H312" s="77"/>
      <c r="I312" s="77"/>
      <c r="J312" s="163"/>
      <c r="K312" s="77"/>
      <c r="L312" s="16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6.5" x14ac:dyDescent="0.3">
      <c r="A313" s="2"/>
      <c r="B313" s="2"/>
      <c r="C313" s="2"/>
      <c r="D313" s="4"/>
      <c r="E313" s="2"/>
      <c r="F313" s="2"/>
      <c r="G313" s="2"/>
      <c r="H313" s="77"/>
      <c r="I313" s="77"/>
      <c r="J313" s="163"/>
      <c r="K313" s="77"/>
      <c r="L313" s="16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6.5" x14ac:dyDescent="0.3">
      <c r="A314" s="2"/>
      <c r="B314" s="2"/>
      <c r="C314" s="2"/>
      <c r="D314" s="4"/>
      <c r="E314" s="2"/>
      <c r="F314" s="2"/>
      <c r="G314" s="2"/>
      <c r="H314" s="77"/>
      <c r="I314" s="77"/>
      <c r="J314" s="163"/>
      <c r="K314" s="77"/>
      <c r="L314" s="16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6.5" x14ac:dyDescent="0.3">
      <c r="A315" s="2"/>
      <c r="B315" s="2"/>
      <c r="C315" s="2"/>
      <c r="D315" s="4"/>
      <c r="E315" s="2"/>
      <c r="F315" s="2"/>
      <c r="G315" s="2"/>
      <c r="H315" s="77"/>
      <c r="I315" s="77"/>
      <c r="J315" s="163"/>
      <c r="K315" s="77"/>
      <c r="L315" s="16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6.5" x14ac:dyDescent="0.3">
      <c r="A316" s="2"/>
      <c r="B316" s="2"/>
      <c r="C316" s="2"/>
      <c r="D316" s="4"/>
      <c r="E316" s="2"/>
      <c r="F316" s="2"/>
      <c r="G316" s="2"/>
      <c r="H316" s="77"/>
      <c r="I316" s="77"/>
      <c r="J316" s="163"/>
      <c r="K316" s="77"/>
      <c r="L316" s="16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6.5" x14ac:dyDescent="0.3">
      <c r="A317" s="2"/>
      <c r="B317" s="2"/>
      <c r="C317" s="2"/>
      <c r="D317" s="4"/>
      <c r="E317" s="2"/>
      <c r="F317" s="2"/>
      <c r="G317" s="2"/>
      <c r="H317" s="77"/>
      <c r="I317" s="77"/>
      <c r="J317" s="163"/>
      <c r="K317" s="77"/>
      <c r="L317" s="16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6.5" x14ac:dyDescent="0.3">
      <c r="A318" s="2"/>
      <c r="B318" s="2"/>
      <c r="C318" s="2"/>
      <c r="D318" s="4"/>
      <c r="E318" s="2"/>
      <c r="F318" s="2"/>
      <c r="G318" s="2"/>
      <c r="H318" s="77"/>
      <c r="I318" s="77"/>
      <c r="J318" s="163"/>
      <c r="K318" s="77"/>
      <c r="L318" s="16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6.5" x14ac:dyDescent="0.3">
      <c r="A319" s="2"/>
      <c r="B319" s="2"/>
      <c r="C319" s="2"/>
      <c r="D319" s="4"/>
      <c r="E319" s="2"/>
      <c r="F319" s="2"/>
      <c r="G319" s="2"/>
      <c r="H319" s="77"/>
      <c r="I319" s="77"/>
      <c r="J319" s="163"/>
      <c r="K319" s="77"/>
      <c r="L319" s="16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6.5" x14ac:dyDescent="0.3">
      <c r="A320" s="2"/>
      <c r="B320" s="2"/>
      <c r="C320" s="2"/>
      <c r="D320" s="4"/>
      <c r="E320" s="2"/>
      <c r="F320" s="2"/>
      <c r="G320" s="2"/>
      <c r="H320" s="77"/>
      <c r="I320" s="77"/>
      <c r="J320" s="163"/>
      <c r="K320" s="77"/>
      <c r="L320" s="16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6.5" x14ac:dyDescent="0.3">
      <c r="A321" s="2"/>
      <c r="B321" s="2"/>
      <c r="C321" s="2"/>
      <c r="D321" s="4"/>
      <c r="E321" s="2"/>
      <c r="F321" s="2"/>
      <c r="G321" s="2"/>
      <c r="H321" s="77"/>
      <c r="I321" s="77"/>
      <c r="J321" s="163"/>
      <c r="K321" s="77"/>
      <c r="L321" s="16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6.5" x14ac:dyDescent="0.3">
      <c r="A322" s="2"/>
      <c r="B322" s="2"/>
      <c r="C322" s="2"/>
      <c r="D322" s="4"/>
      <c r="E322" s="2"/>
      <c r="F322" s="2"/>
      <c r="G322" s="2"/>
      <c r="H322" s="77"/>
      <c r="I322" s="77"/>
      <c r="J322" s="163"/>
      <c r="K322" s="77"/>
      <c r="L322" s="16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6.5" x14ac:dyDescent="0.3">
      <c r="A323" s="2"/>
      <c r="B323" s="2"/>
      <c r="C323" s="2"/>
      <c r="D323" s="4"/>
      <c r="E323" s="2"/>
      <c r="F323" s="2"/>
      <c r="G323" s="2"/>
      <c r="H323" s="77"/>
      <c r="I323" s="77"/>
      <c r="J323" s="163"/>
      <c r="K323" s="77"/>
      <c r="L323" s="16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6.5" x14ac:dyDescent="0.3">
      <c r="A324" s="2"/>
      <c r="B324" s="2"/>
      <c r="C324" s="2"/>
      <c r="D324" s="4"/>
      <c r="E324" s="2"/>
      <c r="F324" s="2"/>
      <c r="G324" s="2"/>
      <c r="H324" s="77"/>
      <c r="I324" s="77"/>
      <c r="J324" s="163"/>
      <c r="K324" s="77"/>
      <c r="L324" s="16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6.5" x14ac:dyDescent="0.3">
      <c r="A325" s="2"/>
      <c r="B325" s="2"/>
      <c r="C325" s="2"/>
      <c r="D325" s="4"/>
      <c r="E325" s="2"/>
      <c r="F325" s="2"/>
      <c r="G325" s="2"/>
      <c r="H325" s="77"/>
      <c r="I325" s="77"/>
      <c r="J325" s="163"/>
      <c r="K325" s="77"/>
      <c r="L325" s="16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6.5" x14ac:dyDescent="0.3">
      <c r="A326" s="2"/>
      <c r="B326" s="2"/>
      <c r="C326" s="2"/>
      <c r="D326" s="4"/>
      <c r="E326" s="2"/>
      <c r="F326" s="2"/>
      <c r="G326" s="2"/>
      <c r="H326" s="77"/>
      <c r="I326" s="77"/>
      <c r="J326" s="163"/>
      <c r="K326" s="77"/>
      <c r="L326" s="16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6.5" x14ac:dyDescent="0.3">
      <c r="A327" s="2"/>
      <c r="B327" s="2"/>
      <c r="C327" s="2"/>
      <c r="D327" s="4"/>
      <c r="E327" s="2"/>
      <c r="F327" s="2"/>
      <c r="G327" s="2"/>
      <c r="H327" s="77"/>
      <c r="I327" s="77"/>
      <c r="J327" s="163"/>
      <c r="K327" s="77"/>
      <c r="L327" s="16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6.5" x14ac:dyDescent="0.3">
      <c r="A328" s="2"/>
      <c r="B328" s="2"/>
      <c r="C328" s="2"/>
      <c r="D328" s="4"/>
      <c r="E328" s="2"/>
      <c r="F328" s="2"/>
      <c r="G328" s="2"/>
      <c r="H328" s="77"/>
      <c r="I328" s="77"/>
      <c r="J328" s="163"/>
      <c r="K328" s="77"/>
      <c r="L328" s="16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6.5" x14ac:dyDescent="0.3">
      <c r="A329" s="2"/>
      <c r="B329" s="2"/>
      <c r="C329" s="2"/>
      <c r="D329" s="4"/>
      <c r="E329" s="2"/>
      <c r="F329" s="2"/>
      <c r="G329" s="2"/>
      <c r="H329" s="77"/>
      <c r="I329" s="77"/>
      <c r="J329" s="163"/>
      <c r="K329" s="77"/>
      <c r="L329" s="16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6.5" x14ac:dyDescent="0.3">
      <c r="A330" s="2"/>
      <c r="B330" s="2"/>
      <c r="C330" s="2"/>
      <c r="D330" s="4"/>
      <c r="E330" s="2"/>
      <c r="F330" s="2"/>
      <c r="G330" s="2"/>
      <c r="H330" s="77"/>
      <c r="I330" s="77"/>
      <c r="J330" s="163"/>
      <c r="K330" s="77"/>
      <c r="L330" s="16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6.5" x14ac:dyDescent="0.3">
      <c r="A331" s="2"/>
      <c r="B331" s="2"/>
      <c r="C331" s="2"/>
      <c r="D331" s="4"/>
      <c r="E331" s="2"/>
      <c r="F331" s="2"/>
      <c r="G331" s="2"/>
      <c r="H331" s="77"/>
      <c r="I331" s="77"/>
      <c r="J331" s="163"/>
      <c r="K331" s="77"/>
      <c r="L331" s="16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6.5" x14ac:dyDescent="0.3">
      <c r="A332" s="2"/>
      <c r="B332" s="2"/>
      <c r="C332" s="2"/>
      <c r="D332" s="4"/>
      <c r="E332" s="2"/>
      <c r="F332" s="2"/>
      <c r="G332" s="2"/>
      <c r="H332" s="77"/>
      <c r="I332" s="77"/>
      <c r="J332" s="163"/>
      <c r="K332" s="77"/>
      <c r="L332" s="16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6.5" x14ac:dyDescent="0.3">
      <c r="A333" s="2"/>
      <c r="B333" s="2"/>
      <c r="C333" s="2"/>
      <c r="D333" s="4"/>
      <c r="E333" s="2"/>
      <c r="F333" s="2"/>
      <c r="G333" s="2"/>
      <c r="H333" s="77"/>
      <c r="I333" s="77"/>
      <c r="J333" s="163"/>
      <c r="K333" s="77"/>
      <c r="L333" s="16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6.5" x14ac:dyDescent="0.3">
      <c r="A334" s="2"/>
      <c r="B334" s="2"/>
      <c r="C334" s="2"/>
      <c r="D334" s="4"/>
      <c r="E334" s="2"/>
      <c r="F334" s="2"/>
      <c r="G334" s="2"/>
      <c r="H334" s="77"/>
      <c r="I334" s="77"/>
      <c r="J334" s="163"/>
      <c r="K334" s="77"/>
      <c r="L334" s="16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6.5" x14ac:dyDescent="0.3">
      <c r="A335" s="2"/>
      <c r="B335" s="2"/>
      <c r="C335" s="2"/>
      <c r="D335" s="4"/>
      <c r="E335" s="2"/>
      <c r="F335" s="2"/>
      <c r="G335" s="2"/>
      <c r="H335" s="77"/>
      <c r="I335" s="77"/>
      <c r="J335" s="163"/>
      <c r="K335" s="77"/>
      <c r="L335" s="16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6.5" x14ac:dyDescent="0.3">
      <c r="A336" s="2"/>
      <c r="B336" s="2"/>
      <c r="C336" s="2"/>
      <c r="D336" s="4"/>
      <c r="E336" s="2"/>
      <c r="F336" s="2"/>
      <c r="G336" s="2"/>
      <c r="H336" s="77"/>
      <c r="I336" s="77"/>
      <c r="J336" s="163"/>
      <c r="K336" s="77"/>
      <c r="L336" s="16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6.5" x14ac:dyDescent="0.3">
      <c r="A337" s="2"/>
      <c r="B337" s="2"/>
      <c r="C337" s="2"/>
      <c r="D337" s="4"/>
      <c r="E337" s="2"/>
      <c r="F337" s="2"/>
      <c r="G337" s="2"/>
      <c r="H337" s="77"/>
      <c r="I337" s="77"/>
      <c r="J337" s="163"/>
      <c r="K337" s="77"/>
      <c r="L337" s="16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6.5" x14ac:dyDescent="0.3">
      <c r="A338" s="2"/>
      <c r="B338" s="2"/>
      <c r="C338" s="2"/>
      <c r="D338" s="4"/>
      <c r="E338" s="2"/>
      <c r="F338" s="2"/>
      <c r="G338" s="2"/>
      <c r="H338" s="77"/>
      <c r="I338" s="77"/>
      <c r="J338" s="163"/>
      <c r="K338" s="77"/>
      <c r="L338" s="16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6.5" x14ac:dyDescent="0.3">
      <c r="A339" s="2"/>
      <c r="B339" s="2"/>
      <c r="C339" s="2"/>
      <c r="D339" s="4"/>
      <c r="E339" s="2"/>
      <c r="F339" s="2"/>
      <c r="G339" s="2"/>
      <c r="H339" s="77"/>
      <c r="I339" s="77"/>
      <c r="J339" s="163"/>
      <c r="K339" s="77"/>
      <c r="L339" s="16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6.5" x14ac:dyDescent="0.3">
      <c r="A340" s="2"/>
      <c r="B340" s="2"/>
      <c r="C340" s="2"/>
      <c r="D340" s="4"/>
      <c r="E340" s="2"/>
      <c r="F340" s="2"/>
      <c r="G340" s="2"/>
      <c r="H340" s="77"/>
      <c r="I340" s="77"/>
      <c r="J340" s="163"/>
      <c r="K340" s="77"/>
      <c r="L340" s="16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6.5" x14ac:dyDescent="0.3">
      <c r="A341" s="2"/>
      <c r="B341" s="2"/>
      <c r="C341" s="2"/>
      <c r="D341" s="4"/>
      <c r="E341" s="2"/>
      <c r="F341" s="2"/>
      <c r="G341" s="2"/>
      <c r="H341" s="77"/>
      <c r="I341" s="77"/>
      <c r="J341" s="163"/>
      <c r="K341" s="77"/>
      <c r="L341" s="16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6.5" x14ac:dyDescent="0.3">
      <c r="A342" s="2"/>
      <c r="B342" s="2"/>
      <c r="C342" s="2"/>
      <c r="D342" s="4"/>
      <c r="E342" s="2"/>
      <c r="F342" s="2"/>
      <c r="G342" s="2"/>
      <c r="H342" s="77"/>
      <c r="I342" s="77"/>
      <c r="J342" s="163"/>
      <c r="K342" s="77"/>
      <c r="L342" s="16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6.5" x14ac:dyDescent="0.3">
      <c r="A343" s="2"/>
      <c r="B343" s="2"/>
      <c r="C343" s="2"/>
      <c r="D343" s="4"/>
      <c r="E343" s="2"/>
      <c r="F343" s="2"/>
      <c r="G343" s="2"/>
      <c r="H343" s="77"/>
      <c r="I343" s="77"/>
      <c r="J343" s="163"/>
      <c r="K343" s="77"/>
      <c r="L343" s="16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6.5" x14ac:dyDescent="0.3">
      <c r="A344" s="2"/>
      <c r="B344" s="2"/>
      <c r="C344" s="2"/>
      <c r="D344" s="4"/>
      <c r="E344" s="2"/>
      <c r="F344" s="2"/>
      <c r="G344" s="2"/>
      <c r="H344" s="77"/>
      <c r="I344" s="77"/>
      <c r="J344" s="163"/>
      <c r="K344" s="77"/>
      <c r="L344" s="16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6.5" x14ac:dyDescent="0.3">
      <c r="A345" s="2"/>
      <c r="B345" s="2"/>
      <c r="C345" s="2"/>
      <c r="D345" s="4"/>
      <c r="E345" s="2"/>
      <c r="F345" s="2"/>
      <c r="G345" s="2"/>
      <c r="H345" s="77"/>
      <c r="I345" s="77"/>
      <c r="J345" s="163"/>
      <c r="K345" s="77"/>
      <c r="L345" s="16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6.5" x14ac:dyDescent="0.3">
      <c r="A346" s="2"/>
      <c r="B346" s="2"/>
      <c r="C346" s="2"/>
      <c r="D346" s="4"/>
      <c r="E346" s="2"/>
      <c r="F346" s="2"/>
      <c r="G346" s="2"/>
      <c r="H346" s="77"/>
      <c r="I346" s="77"/>
      <c r="J346" s="163"/>
      <c r="K346" s="77"/>
      <c r="L346" s="16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6.5" x14ac:dyDescent="0.3">
      <c r="A347" s="2"/>
      <c r="B347" s="2"/>
      <c r="C347" s="2"/>
      <c r="D347" s="4"/>
      <c r="E347" s="2"/>
      <c r="F347" s="2"/>
      <c r="G347" s="2"/>
      <c r="H347" s="77"/>
      <c r="I347" s="77"/>
      <c r="J347" s="163"/>
      <c r="K347" s="77"/>
      <c r="L347" s="16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6.5" x14ac:dyDescent="0.3">
      <c r="A348" s="2"/>
      <c r="B348" s="2"/>
      <c r="C348" s="2"/>
      <c r="D348" s="4"/>
      <c r="E348" s="2"/>
      <c r="F348" s="2"/>
      <c r="G348" s="2"/>
      <c r="H348" s="77"/>
      <c r="I348" s="77"/>
      <c r="J348" s="163"/>
      <c r="K348" s="77"/>
      <c r="L348" s="16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6.5" x14ac:dyDescent="0.3">
      <c r="A349" s="2"/>
      <c r="B349" s="2"/>
      <c r="C349" s="2"/>
      <c r="D349" s="4"/>
      <c r="E349" s="2"/>
      <c r="F349" s="2"/>
      <c r="G349" s="2"/>
      <c r="H349" s="77"/>
      <c r="I349" s="77"/>
      <c r="J349" s="163"/>
      <c r="K349" s="77"/>
      <c r="L349" s="16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6.5" x14ac:dyDescent="0.3">
      <c r="A350" s="2"/>
      <c r="B350" s="2"/>
      <c r="C350" s="2"/>
      <c r="D350" s="4"/>
      <c r="E350" s="2"/>
      <c r="F350" s="2"/>
      <c r="G350" s="2"/>
      <c r="H350" s="77"/>
      <c r="I350" s="77"/>
      <c r="J350" s="163"/>
      <c r="K350" s="77"/>
      <c r="L350" s="16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6.5" x14ac:dyDescent="0.3">
      <c r="A351" s="2"/>
      <c r="B351" s="2"/>
      <c r="C351" s="2"/>
      <c r="D351" s="4"/>
      <c r="E351" s="2"/>
      <c r="F351" s="2"/>
      <c r="G351" s="2"/>
      <c r="H351" s="77"/>
      <c r="I351" s="77"/>
      <c r="J351" s="163"/>
      <c r="K351" s="77"/>
      <c r="L351" s="16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6.5" x14ac:dyDescent="0.3">
      <c r="A352" s="2"/>
      <c r="B352" s="2"/>
      <c r="C352" s="2"/>
      <c r="D352" s="4"/>
      <c r="E352" s="2"/>
      <c r="F352" s="2"/>
      <c r="G352" s="2"/>
      <c r="H352" s="77"/>
      <c r="I352" s="77"/>
      <c r="J352" s="163"/>
      <c r="K352" s="77"/>
      <c r="L352" s="16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6.5" x14ac:dyDescent="0.3">
      <c r="A353" s="2"/>
      <c r="B353" s="2"/>
      <c r="C353" s="2"/>
      <c r="D353" s="4"/>
      <c r="E353" s="2"/>
      <c r="F353" s="2"/>
      <c r="G353" s="2"/>
      <c r="H353" s="77"/>
      <c r="I353" s="77"/>
      <c r="J353" s="163"/>
      <c r="K353" s="77"/>
      <c r="L353" s="16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6.5" x14ac:dyDescent="0.3">
      <c r="A354" s="2"/>
      <c r="B354" s="2"/>
      <c r="C354" s="2"/>
      <c r="D354" s="4"/>
      <c r="E354" s="2"/>
      <c r="F354" s="2"/>
      <c r="G354" s="2"/>
      <c r="H354" s="77"/>
      <c r="I354" s="77"/>
      <c r="J354" s="163"/>
      <c r="K354" s="77"/>
      <c r="L354" s="16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6.5" x14ac:dyDescent="0.3">
      <c r="A355" s="2"/>
      <c r="B355" s="2"/>
      <c r="C355" s="2"/>
      <c r="D355" s="4"/>
      <c r="E355" s="2"/>
      <c r="F355" s="2"/>
      <c r="G355" s="2"/>
      <c r="H355" s="77"/>
      <c r="I355" s="77"/>
      <c r="J355" s="163"/>
      <c r="K355" s="77"/>
      <c r="L355" s="16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6.5" x14ac:dyDescent="0.3">
      <c r="A356" s="2"/>
      <c r="B356" s="2"/>
      <c r="C356" s="2"/>
      <c r="D356" s="4"/>
      <c r="E356" s="2"/>
      <c r="F356" s="2"/>
      <c r="G356" s="2"/>
      <c r="H356" s="77"/>
      <c r="I356" s="77"/>
      <c r="J356" s="163"/>
      <c r="K356" s="77"/>
      <c r="L356" s="16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6.5" x14ac:dyDescent="0.3">
      <c r="A357" s="2"/>
      <c r="B357" s="2"/>
      <c r="C357" s="2"/>
      <c r="D357" s="4"/>
      <c r="E357" s="2"/>
      <c r="F357" s="2"/>
      <c r="G357" s="2"/>
      <c r="H357" s="77"/>
      <c r="I357" s="77"/>
      <c r="J357" s="163"/>
      <c r="K357" s="77"/>
      <c r="L357" s="16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6.5" x14ac:dyDescent="0.3">
      <c r="A358" s="2"/>
      <c r="B358" s="2"/>
      <c r="C358" s="2"/>
      <c r="D358" s="4"/>
      <c r="E358" s="2"/>
      <c r="F358" s="2"/>
      <c r="G358" s="2"/>
      <c r="H358" s="77"/>
      <c r="I358" s="77"/>
      <c r="J358" s="163"/>
      <c r="K358" s="77"/>
      <c r="L358" s="16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6.5" x14ac:dyDescent="0.3">
      <c r="A359" s="2"/>
      <c r="B359" s="2"/>
      <c r="C359" s="2"/>
      <c r="D359" s="4"/>
      <c r="E359" s="2"/>
      <c r="F359" s="2"/>
      <c r="G359" s="2"/>
      <c r="H359" s="77"/>
      <c r="I359" s="77"/>
      <c r="J359" s="163"/>
      <c r="K359" s="77"/>
      <c r="L359" s="16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6.5" x14ac:dyDescent="0.3">
      <c r="A360" s="2"/>
      <c r="B360" s="2"/>
      <c r="C360" s="2"/>
      <c r="D360" s="4"/>
      <c r="E360" s="2"/>
      <c r="F360" s="2"/>
      <c r="G360" s="2"/>
      <c r="H360" s="77"/>
      <c r="I360" s="77"/>
      <c r="J360" s="163"/>
      <c r="K360" s="77"/>
      <c r="L360" s="16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6.5" x14ac:dyDescent="0.3">
      <c r="A361" s="2"/>
      <c r="B361" s="2"/>
      <c r="C361" s="2"/>
      <c r="D361" s="4"/>
      <c r="E361" s="2"/>
      <c r="F361" s="2"/>
      <c r="G361" s="2"/>
      <c r="H361" s="77"/>
      <c r="I361" s="77"/>
      <c r="J361" s="163"/>
      <c r="K361" s="77"/>
      <c r="L361" s="16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6.5" x14ac:dyDescent="0.3">
      <c r="A362" s="2"/>
      <c r="B362" s="2"/>
      <c r="C362" s="2"/>
      <c r="D362" s="4"/>
      <c r="E362" s="2"/>
      <c r="F362" s="2"/>
      <c r="G362" s="2"/>
      <c r="H362" s="77"/>
      <c r="I362" s="77"/>
      <c r="J362" s="163"/>
      <c r="K362" s="77"/>
      <c r="L362" s="16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6.5" x14ac:dyDescent="0.3">
      <c r="A363" s="2"/>
      <c r="B363" s="2"/>
      <c r="C363" s="2"/>
      <c r="D363" s="4"/>
      <c r="E363" s="2"/>
      <c r="F363" s="2"/>
      <c r="G363" s="2"/>
      <c r="H363" s="77"/>
      <c r="I363" s="77"/>
      <c r="J363" s="163"/>
      <c r="K363" s="77"/>
      <c r="L363" s="16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6.5" x14ac:dyDescent="0.3">
      <c r="A364" s="2"/>
      <c r="B364" s="2"/>
      <c r="C364" s="2"/>
      <c r="D364" s="4"/>
      <c r="E364" s="2"/>
      <c r="F364" s="2"/>
      <c r="G364" s="2"/>
      <c r="H364" s="77"/>
      <c r="I364" s="77"/>
      <c r="J364" s="163"/>
      <c r="K364" s="77"/>
      <c r="L364" s="16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6.5" x14ac:dyDescent="0.3">
      <c r="A365" s="2"/>
      <c r="B365" s="2"/>
      <c r="C365" s="2"/>
      <c r="D365" s="4"/>
      <c r="E365" s="2"/>
      <c r="F365" s="2"/>
      <c r="G365" s="2"/>
      <c r="H365" s="77"/>
      <c r="I365" s="77"/>
      <c r="J365" s="163"/>
      <c r="K365" s="77"/>
      <c r="L365" s="16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6.5" x14ac:dyDescent="0.3">
      <c r="A366" s="2"/>
      <c r="B366" s="2"/>
      <c r="C366" s="2"/>
      <c r="D366" s="4"/>
      <c r="E366" s="2"/>
      <c r="F366" s="2"/>
      <c r="G366" s="2"/>
      <c r="H366" s="77"/>
      <c r="I366" s="77"/>
      <c r="J366" s="163"/>
      <c r="K366" s="77"/>
      <c r="L366" s="16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6.5" x14ac:dyDescent="0.3">
      <c r="A367" s="2"/>
      <c r="B367" s="2"/>
      <c r="C367" s="2"/>
      <c r="D367" s="4"/>
      <c r="E367" s="2"/>
      <c r="F367" s="2"/>
      <c r="G367" s="2"/>
      <c r="H367" s="77"/>
      <c r="I367" s="77"/>
      <c r="J367" s="163"/>
      <c r="K367" s="77"/>
      <c r="L367" s="16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6.5" x14ac:dyDescent="0.3">
      <c r="A368" s="2"/>
      <c r="B368" s="2"/>
      <c r="C368" s="2"/>
      <c r="D368" s="4"/>
      <c r="E368" s="2"/>
      <c r="F368" s="2"/>
      <c r="G368" s="2"/>
      <c r="H368" s="77"/>
      <c r="I368" s="77"/>
      <c r="J368" s="163"/>
      <c r="K368" s="77"/>
      <c r="L368" s="16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6.5" x14ac:dyDescent="0.3">
      <c r="A369" s="2"/>
      <c r="B369" s="2"/>
      <c r="C369" s="2"/>
      <c r="D369" s="4"/>
      <c r="E369" s="2"/>
      <c r="F369" s="2"/>
      <c r="G369" s="2"/>
      <c r="H369" s="77"/>
      <c r="I369" s="77"/>
      <c r="J369" s="163"/>
      <c r="K369" s="77"/>
      <c r="L369" s="16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6.5" x14ac:dyDescent="0.3">
      <c r="A370" s="2"/>
      <c r="B370" s="2"/>
      <c r="C370" s="2"/>
      <c r="D370" s="4"/>
      <c r="E370" s="2"/>
      <c r="F370" s="2"/>
      <c r="G370" s="2"/>
      <c r="H370" s="77"/>
      <c r="I370" s="77"/>
      <c r="J370" s="163"/>
      <c r="K370" s="77"/>
      <c r="L370" s="16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6.5" x14ac:dyDescent="0.3">
      <c r="A371" s="2"/>
      <c r="B371" s="2"/>
      <c r="C371" s="2"/>
      <c r="D371" s="4"/>
      <c r="E371" s="2"/>
      <c r="F371" s="2"/>
      <c r="G371" s="2"/>
      <c r="H371" s="77"/>
      <c r="I371" s="77"/>
      <c r="J371" s="163"/>
      <c r="K371" s="77"/>
      <c r="L371" s="16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6.5" x14ac:dyDescent="0.3">
      <c r="A372" s="2"/>
      <c r="B372" s="2"/>
      <c r="C372" s="2"/>
      <c r="D372" s="4"/>
      <c r="E372" s="2"/>
      <c r="F372" s="2"/>
      <c r="G372" s="2"/>
      <c r="H372" s="77"/>
      <c r="I372" s="77"/>
      <c r="J372" s="163"/>
      <c r="K372" s="77"/>
      <c r="L372" s="16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6.5" x14ac:dyDescent="0.3">
      <c r="A373" s="2"/>
      <c r="B373" s="2"/>
      <c r="C373" s="2"/>
      <c r="D373" s="4"/>
      <c r="E373" s="2"/>
      <c r="F373" s="2"/>
      <c r="G373" s="2"/>
      <c r="H373" s="77"/>
      <c r="I373" s="77"/>
      <c r="J373" s="163"/>
      <c r="K373" s="77"/>
      <c r="L373" s="16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6.5" x14ac:dyDescent="0.3">
      <c r="A374" s="2"/>
      <c r="B374" s="2"/>
      <c r="C374" s="2"/>
      <c r="D374" s="4"/>
      <c r="E374" s="2"/>
      <c r="F374" s="2"/>
      <c r="G374" s="2"/>
      <c r="H374" s="77"/>
      <c r="I374" s="77"/>
      <c r="J374" s="163"/>
      <c r="K374" s="77"/>
      <c r="L374" s="16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6.5" x14ac:dyDescent="0.3">
      <c r="A375" s="2"/>
      <c r="B375" s="2"/>
      <c r="C375" s="2"/>
      <c r="D375" s="4"/>
      <c r="E375" s="2"/>
      <c r="F375" s="2"/>
      <c r="G375" s="2"/>
      <c r="H375" s="77"/>
      <c r="I375" s="77"/>
      <c r="J375" s="163"/>
      <c r="K375" s="77"/>
      <c r="L375" s="16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6.5" x14ac:dyDescent="0.3">
      <c r="A376" s="2"/>
      <c r="B376" s="2"/>
      <c r="C376" s="2"/>
      <c r="D376" s="4"/>
      <c r="E376" s="2"/>
      <c r="F376" s="2"/>
      <c r="G376" s="2"/>
      <c r="H376" s="77"/>
      <c r="I376" s="77"/>
      <c r="J376" s="163"/>
      <c r="K376" s="77"/>
      <c r="L376" s="16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6.5" x14ac:dyDescent="0.3">
      <c r="A377" s="2"/>
      <c r="B377" s="2"/>
      <c r="C377" s="2"/>
      <c r="D377" s="4"/>
      <c r="E377" s="2"/>
      <c r="F377" s="2"/>
      <c r="G377" s="2"/>
      <c r="H377" s="77"/>
      <c r="I377" s="77"/>
      <c r="J377" s="163"/>
      <c r="K377" s="77"/>
      <c r="L377" s="16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6.5" x14ac:dyDescent="0.3">
      <c r="A378" s="2"/>
      <c r="B378" s="2"/>
      <c r="C378" s="2"/>
      <c r="D378" s="4"/>
      <c r="E378" s="2"/>
      <c r="F378" s="2"/>
      <c r="G378" s="2"/>
      <c r="H378" s="77"/>
      <c r="I378" s="77"/>
      <c r="J378" s="163"/>
      <c r="K378" s="77"/>
      <c r="L378" s="16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6.5" x14ac:dyDescent="0.3">
      <c r="A379" s="2"/>
      <c r="B379" s="2"/>
      <c r="C379" s="2"/>
      <c r="D379" s="4"/>
      <c r="E379" s="2"/>
      <c r="F379" s="2"/>
      <c r="G379" s="2"/>
      <c r="H379" s="77"/>
      <c r="I379" s="77"/>
      <c r="J379" s="163"/>
      <c r="K379" s="77"/>
      <c r="L379" s="16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6.5" x14ac:dyDescent="0.3">
      <c r="A380" s="2"/>
      <c r="B380" s="2"/>
      <c r="C380" s="2"/>
      <c r="D380" s="4"/>
      <c r="E380" s="2"/>
      <c r="F380" s="2"/>
      <c r="G380" s="2"/>
      <c r="H380" s="77"/>
      <c r="I380" s="77"/>
      <c r="J380" s="163"/>
      <c r="K380" s="77"/>
      <c r="L380" s="16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6.5" x14ac:dyDescent="0.3">
      <c r="A381" s="2"/>
      <c r="B381" s="2"/>
      <c r="C381" s="2"/>
      <c r="D381" s="4"/>
      <c r="E381" s="2"/>
      <c r="F381" s="2"/>
      <c r="G381" s="2"/>
      <c r="H381" s="77"/>
      <c r="I381" s="77"/>
      <c r="J381" s="163"/>
      <c r="K381" s="77"/>
      <c r="L381" s="16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6.5" x14ac:dyDescent="0.3">
      <c r="A382" s="2"/>
      <c r="B382" s="2"/>
      <c r="C382" s="2"/>
      <c r="D382" s="4"/>
      <c r="E382" s="2"/>
      <c r="F382" s="2"/>
      <c r="G382" s="2"/>
      <c r="H382" s="77"/>
      <c r="I382" s="77"/>
      <c r="J382" s="163"/>
      <c r="K382" s="77"/>
      <c r="L382" s="16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6.5" x14ac:dyDescent="0.3">
      <c r="A383" s="2"/>
      <c r="B383" s="2"/>
      <c r="C383" s="2"/>
      <c r="D383" s="4"/>
      <c r="E383" s="2"/>
      <c r="F383" s="2"/>
      <c r="G383" s="2"/>
      <c r="H383" s="77"/>
      <c r="I383" s="77"/>
      <c r="J383" s="163"/>
      <c r="K383" s="77"/>
      <c r="L383" s="16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6.5" x14ac:dyDescent="0.3">
      <c r="A384" s="2"/>
      <c r="B384" s="2"/>
      <c r="C384" s="2"/>
      <c r="D384" s="4"/>
      <c r="E384" s="2"/>
      <c r="F384" s="2"/>
      <c r="G384" s="2"/>
      <c r="H384" s="77"/>
      <c r="I384" s="77"/>
      <c r="J384" s="163"/>
      <c r="K384" s="77"/>
      <c r="L384" s="16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6.5" x14ac:dyDescent="0.3">
      <c r="A385" s="2"/>
      <c r="B385" s="2"/>
      <c r="C385" s="2"/>
      <c r="D385" s="4"/>
      <c r="E385" s="2"/>
      <c r="F385" s="2"/>
      <c r="G385" s="2"/>
      <c r="H385" s="77"/>
      <c r="I385" s="77"/>
      <c r="J385" s="163"/>
      <c r="K385" s="77"/>
      <c r="L385" s="16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6.5" x14ac:dyDescent="0.3">
      <c r="A386" s="2"/>
      <c r="B386" s="2"/>
      <c r="C386" s="2"/>
      <c r="D386" s="4"/>
      <c r="E386" s="2"/>
      <c r="F386" s="2"/>
      <c r="G386" s="2"/>
      <c r="H386" s="77"/>
      <c r="I386" s="77"/>
      <c r="J386" s="163"/>
      <c r="K386" s="77"/>
      <c r="L386" s="16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6.5" x14ac:dyDescent="0.3">
      <c r="A387" s="2"/>
      <c r="B387" s="2"/>
      <c r="C387" s="2"/>
      <c r="D387" s="4"/>
      <c r="E387" s="2"/>
      <c r="F387" s="2"/>
      <c r="G387" s="2"/>
      <c r="H387" s="77"/>
      <c r="I387" s="77"/>
      <c r="J387" s="163"/>
      <c r="K387" s="77"/>
      <c r="L387" s="16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6.5" x14ac:dyDescent="0.3">
      <c r="A388" s="2"/>
      <c r="B388" s="2"/>
      <c r="C388" s="2"/>
      <c r="D388" s="4"/>
      <c r="E388" s="2"/>
      <c r="F388" s="2"/>
      <c r="G388" s="2"/>
      <c r="H388" s="77"/>
      <c r="I388" s="77"/>
      <c r="J388" s="163"/>
      <c r="K388" s="77"/>
      <c r="L388" s="16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6.5" x14ac:dyDescent="0.3">
      <c r="A389" s="2"/>
      <c r="B389" s="2"/>
      <c r="C389" s="2"/>
      <c r="D389" s="4"/>
      <c r="E389" s="2"/>
      <c r="F389" s="2"/>
      <c r="G389" s="2"/>
      <c r="H389" s="77"/>
      <c r="I389" s="77"/>
      <c r="J389" s="163"/>
      <c r="K389" s="77"/>
      <c r="L389" s="16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6.5" x14ac:dyDescent="0.3">
      <c r="A390" s="2"/>
      <c r="B390" s="2"/>
      <c r="C390" s="2"/>
      <c r="D390" s="4"/>
      <c r="E390" s="2"/>
      <c r="F390" s="2"/>
      <c r="G390" s="2"/>
      <c r="H390" s="77"/>
      <c r="I390" s="77"/>
      <c r="J390" s="163"/>
      <c r="K390" s="77"/>
      <c r="L390" s="16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6.5" x14ac:dyDescent="0.3">
      <c r="A391" s="2"/>
      <c r="B391" s="2"/>
      <c r="C391" s="2"/>
      <c r="D391" s="4"/>
      <c r="E391" s="2"/>
      <c r="F391" s="2"/>
      <c r="G391" s="2"/>
      <c r="H391" s="77"/>
      <c r="I391" s="77"/>
      <c r="J391" s="163"/>
      <c r="K391" s="77"/>
      <c r="L391" s="16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6.5" x14ac:dyDescent="0.3">
      <c r="A392" s="2"/>
      <c r="B392" s="2"/>
      <c r="C392" s="2"/>
      <c r="D392" s="4"/>
      <c r="E392" s="2"/>
      <c r="F392" s="2"/>
      <c r="G392" s="2"/>
      <c r="H392" s="77"/>
      <c r="I392" s="77"/>
      <c r="J392" s="163"/>
      <c r="K392" s="77"/>
      <c r="L392" s="16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6.5" x14ac:dyDescent="0.3">
      <c r="A393" s="2"/>
      <c r="B393" s="2"/>
      <c r="C393" s="2"/>
      <c r="D393" s="4"/>
      <c r="E393" s="2"/>
      <c r="F393" s="2"/>
      <c r="G393" s="2"/>
      <c r="H393" s="77"/>
      <c r="I393" s="77"/>
      <c r="J393" s="163"/>
      <c r="K393" s="77"/>
      <c r="L393" s="16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6.5" x14ac:dyDescent="0.3">
      <c r="A394" s="2"/>
      <c r="B394" s="2"/>
      <c r="C394" s="2"/>
      <c r="D394" s="4"/>
      <c r="E394" s="2"/>
      <c r="F394" s="2"/>
      <c r="G394" s="2"/>
      <c r="H394" s="77"/>
      <c r="I394" s="77"/>
      <c r="J394" s="163"/>
      <c r="K394" s="77"/>
      <c r="L394" s="16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6.5" x14ac:dyDescent="0.3">
      <c r="A395" s="2"/>
      <c r="B395" s="2"/>
      <c r="C395" s="2"/>
      <c r="D395" s="4"/>
      <c r="E395" s="2"/>
      <c r="F395" s="2"/>
      <c r="G395" s="2"/>
      <c r="H395" s="77"/>
      <c r="I395" s="77"/>
      <c r="J395" s="163"/>
      <c r="K395" s="77"/>
      <c r="L395" s="16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6.5" x14ac:dyDescent="0.3">
      <c r="A396" s="2"/>
      <c r="B396" s="2"/>
      <c r="C396" s="2"/>
      <c r="D396" s="4"/>
      <c r="E396" s="2"/>
      <c r="F396" s="2"/>
      <c r="G396" s="2"/>
      <c r="H396" s="77"/>
      <c r="I396" s="77"/>
      <c r="J396" s="163"/>
      <c r="K396" s="77"/>
      <c r="L396" s="16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6.5" x14ac:dyDescent="0.3">
      <c r="A397" s="2"/>
      <c r="B397" s="2"/>
      <c r="C397" s="2"/>
      <c r="D397" s="4"/>
      <c r="E397" s="2"/>
      <c r="F397" s="2"/>
      <c r="G397" s="2"/>
      <c r="H397" s="77"/>
      <c r="I397" s="77"/>
      <c r="J397" s="163"/>
      <c r="K397" s="77"/>
      <c r="L397" s="16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6.5" x14ac:dyDescent="0.3">
      <c r="A398" s="2"/>
      <c r="B398" s="2"/>
      <c r="C398" s="2"/>
      <c r="D398" s="4"/>
      <c r="E398" s="2"/>
      <c r="F398" s="2"/>
      <c r="G398" s="2"/>
      <c r="H398" s="77"/>
      <c r="I398" s="77"/>
      <c r="J398" s="163"/>
      <c r="K398" s="77"/>
      <c r="L398" s="16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6.5" x14ac:dyDescent="0.3">
      <c r="A399" s="2"/>
      <c r="B399" s="2"/>
      <c r="C399" s="2"/>
      <c r="D399" s="4"/>
      <c r="E399" s="2"/>
      <c r="F399" s="2"/>
      <c r="G399" s="2"/>
      <c r="H399" s="77"/>
      <c r="I399" s="77"/>
      <c r="J399" s="163"/>
      <c r="K399" s="77"/>
      <c r="L399" s="16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6.5" x14ac:dyDescent="0.3">
      <c r="A400" s="2"/>
      <c r="B400" s="2"/>
      <c r="C400" s="2"/>
      <c r="D400" s="4"/>
      <c r="E400" s="2"/>
      <c r="F400" s="2"/>
      <c r="G400" s="2"/>
      <c r="H400" s="77"/>
      <c r="I400" s="77"/>
      <c r="J400" s="163"/>
      <c r="K400" s="77"/>
      <c r="L400" s="16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6.5" x14ac:dyDescent="0.3">
      <c r="A401" s="2"/>
      <c r="B401" s="2"/>
      <c r="C401" s="2"/>
      <c r="D401" s="4"/>
      <c r="E401" s="2"/>
      <c r="F401" s="2"/>
      <c r="G401" s="2"/>
      <c r="H401" s="77"/>
      <c r="I401" s="77"/>
      <c r="J401" s="163"/>
      <c r="K401" s="77"/>
      <c r="L401" s="16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6.5" x14ac:dyDescent="0.3">
      <c r="A402" s="2"/>
      <c r="B402" s="2"/>
      <c r="C402" s="2"/>
      <c r="D402" s="4"/>
      <c r="E402" s="2"/>
      <c r="F402" s="2"/>
      <c r="G402" s="2"/>
      <c r="H402" s="77"/>
      <c r="I402" s="77"/>
      <c r="J402" s="163"/>
      <c r="K402" s="77"/>
      <c r="L402" s="16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6.5" x14ac:dyDescent="0.3">
      <c r="A403" s="2"/>
      <c r="B403" s="2"/>
      <c r="C403" s="2"/>
      <c r="D403" s="4"/>
      <c r="E403" s="2"/>
      <c r="F403" s="2"/>
      <c r="G403" s="2"/>
      <c r="H403" s="77"/>
      <c r="I403" s="77"/>
      <c r="J403" s="163"/>
      <c r="K403" s="77"/>
      <c r="L403" s="164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6.5" x14ac:dyDescent="0.3">
      <c r="A404" s="2"/>
      <c r="B404" s="2"/>
      <c r="C404" s="2"/>
      <c r="D404" s="4"/>
      <c r="E404" s="2"/>
      <c r="F404" s="2"/>
      <c r="G404" s="2"/>
      <c r="H404" s="77"/>
      <c r="I404" s="77"/>
      <c r="J404" s="163"/>
      <c r="K404" s="77"/>
      <c r="L404" s="164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6.5" x14ac:dyDescent="0.3">
      <c r="A405" s="2"/>
      <c r="B405" s="2"/>
      <c r="C405" s="2"/>
      <c r="D405" s="4"/>
      <c r="E405" s="2"/>
      <c r="F405" s="2"/>
      <c r="G405" s="2"/>
      <c r="H405" s="77"/>
      <c r="I405" s="77"/>
      <c r="J405" s="163"/>
      <c r="K405" s="77"/>
      <c r="L405" s="164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6.5" x14ac:dyDescent="0.3">
      <c r="A406" s="2"/>
      <c r="B406" s="2"/>
      <c r="C406" s="2"/>
      <c r="D406" s="4"/>
      <c r="E406" s="2"/>
      <c r="F406" s="2"/>
      <c r="G406" s="2"/>
      <c r="H406" s="77"/>
      <c r="I406" s="77"/>
      <c r="J406" s="163"/>
      <c r="K406" s="77"/>
      <c r="L406" s="164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6.5" x14ac:dyDescent="0.3">
      <c r="A407" s="2"/>
      <c r="B407" s="2"/>
      <c r="C407" s="2"/>
      <c r="D407" s="4"/>
      <c r="E407" s="2"/>
      <c r="F407" s="2"/>
      <c r="G407" s="2"/>
      <c r="H407" s="77"/>
      <c r="I407" s="77"/>
      <c r="J407" s="163"/>
      <c r="K407" s="77"/>
      <c r="L407" s="164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6.5" x14ac:dyDescent="0.3">
      <c r="A408" s="2"/>
      <c r="B408" s="2"/>
      <c r="C408" s="2"/>
      <c r="D408" s="4"/>
      <c r="E408" s="2"/>
      <c r="F408" s="2"/>
      <c r="G408" s="2"/>
      <c r="H408" s="77"/>
      <c r="I408" s="77"/>
      <c r="J408" s="163"/>
      <c r="K408" s="77"/>
      <c r="L408" s="164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6.5" x14ac:dyDescent="0.3">
      <c r="A409" s="2"/>
      <c r="B409" s="2"/>
      <c r="C409" s="2"/>
      <c r="D409" s="4"/>
      <c r="E409" s="2"/>
      <c r="F409" s="2"/>
      <c r="G409" s="2"/>
      <c r="H409" s="77"/>
      <c r="I409" s="77"/>
      <c r="J409" s="163"/>
      <c r="K409" s="77"/>
      <c r="L409" s="164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6.5" x14ac:dyDescent="0.3">
      <c r="A410" s="2"/>
      <c r="B410" s="2"/>
      <c r="C410" s="2"/>
      <c r="D410" s="4"/>
      <c r="E410" s="2"/>
      <c r="F410" s="2"/>
      <c r="G410" s="2"/>
      <c r="H410" s="77"/>
      <c r="I410" s="77"/>
      <c r="J410" s="163"/>
      <c r="K410" s="77"/>
      <c r="L410" s="164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6.5" x14ac:dyDescent="0.3">
      <c r="A411" s="2"/>
      <c r="B411" s="2"/>
      <c r="C411" s="2"/>
      <c r="D411" s="4"/>
      <c r="E411" s="2"/>
      <c r="F411" s="2"/>
      <c r="G411" s="2"/>
      <c r="H411" s="77"/>
      <c r="I411" s="77"/>
      <c r="J411" s="163"/>
      <c r="K411" s="77"/>
      <c r="L411" s="164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6.5" x14ac:dyDescent="0.3">
      <c r="A412" s="2"/>
      <c r="B412" s="2"/>
      <c r="C412" s="2"/>
      <c r="D412" s="4"/>
      <c r="E412" s="2"/>
      <c r="F412" s="2"/>
      <c r="G412" s="2"/>
      <c r="H412" s="77"/>
      <c r="I412" s="77"/>
      <c r="J412" s="163"/>
      <c r="K412" s="77"/>
      <c r="L412" s="164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6.5" x14ac:dyDescent="0.3">
      <c r="A413" s="2"/>
      <c r="B413" s="2"/>
      <c r="C413" s="2"/>
      <c r="D413" s="4"/>
      <c r="E413" s="2"/>
      <c r="F413" s="2"/>
      <c r="G413" s="2"/>
      <c r="H413" s="77"/>
      <c r="I413" s="77"/>
      <c r="J413" s="163"/>
      <c r="K413" s="77"/>
      <c r="L413" s="164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6.5" x14ac:dyDescent="0.3">
      <c r="A414" s="2"/>
      <c r="B414" s="2"/>
      <c r="C414" s="2"/>
      <c r="D414" s="4"/>
      <c r="E414" s="2"/>
      <c r="F414" s="2"/>
      <c r="G414" s="2"/>
      <c r="H414" s="77"/>
      <c r="I414" s="77"/>
      <c r="J414" s="163"/>
      <c r="K414" s="77"/>
      <c r="L414" s="164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6.5" x14ac:dyDescent="0.3">
      <c r="A415" s="2"/>
      <c r="B415" s="2"/>
      <c r="C415" s="2"/>
      <c r="D415" s="4"/>
      <c r="E415" s="2"/>
      <c r="F415" s="2"/>
      <c r="G415" s="2"/>
      <c r="H415" s="77"/>
      <c r="I415" s="77"/>
      <c r="J415" s="163"/>
      <c r="K415" s="77"/>
      <c r="L415" s="164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6.5" x14ac:dyDescent="0.3">
      <c r="A416" s="2"/>
      <c r="B416" s="2"/>
      <c r="C416" s="2"/>
      <c r="D416" s="4"/>
      <c r="E416" s="2"/>
      <c r="F416" s="2"/>
      <c r="G416" s="2"/>
      <c r="H416" s="77"/>
      <c r="I416" s="77"/>
      <c r="J416" s="163"/>
      <c r="K416" s="77"/>
      <c r="L416" s="164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6.5" x14ac:dyDescent="0.3">
      <c r="A417" s="2"/>
      <c r="B417" s="2"/>
      <c r="C417" s="2"/>
      <c r="D417" s="4"/>
      <c r="E417" s="2"/>
      <c r="F417" s="2"/>
      <c r="G417" s="2"/>
      <c r="H417" s="77"/>
      <c r="I417" s="77"/>
      <c r="J417" s="163"/>
      <c r="K417" s="77"/>
      <c r="L417" s="164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6.5" x14ac:dyDescent="0.3">
      <c r="A418" s="2"/>
      <c r="B418" s="2"/>
      <c r="C418" s="2"/>
      <c r="D418" s="4"/>
      <c r="E418" s="2"/>
      <c r="F418" s="2"/>
      <c r="G418" s="2"/>
      <c r="H418" s="77"/>
      <c r="I418" s="77"/>
      <c r="J418" s="163"/>
      <c r="K418" s="77"/>
      <c r="L418" s="164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6.5" x14ac:dyDescent="0.3">
      <c r="A419" s="2"/>
      <c r="B419" s="2"/>
      <c r="C419" s="2"/>
      <c r="D419" s="4"/>
      <c r="E419" s="2"/>
      <c r="F419" s="2"/>
      <c r="G419" s="2"/>
      <c r="H419" s="77"/>
      <c r="I419" s="77"/>
      <c r="J419" s="163"/>
      <c r="K419" s="77"/>
      <c r="L419" s="164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6.5" x14ac:dyDescent="0.3">
      <c r="A420" s="2"/>
      <c r="B420" s="2"/>
      <c r="C420" s="2"/>
      <c r="D420" s="4"/>
      <c r="E420" s="2"/>
      <c r="F420" s="2"/>
      <c r="G420" s="2"/>
      <c r="H420" s="77"/>
      <c r="I420" s="77"/>
      <c r="J420" s="163"/>
      <c r="K420" s="77"/>
      <c r="L420" s="164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6.5" x14ac:dyDescent="0.3">
      <c r="A421" s="2"/>
      <c r="B421" s="2"/>
      <c r="C421" s="2"/>
      <c r="D421" s="4"/>
      <c r="E421" s="2"/>
      <c r="F421" s="2"/>
      <c r="G421" s="2"/>
      <c r="H421" s="77"/>
      <c r="I421" s="77"/>
      <c r="J421" s="163"/>
      <c r="K421" s="77"/>
      <c r="L421" s="164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6.5" x14ac:dyDescent="0.3">
      <c r="A422" s="2"/>
      <c r="B422" s="2"/>
      <c r="C422" s="2"/>
      <c r="D422" s="4"/>
      <c r="E422" s="2"/>
      <c r="F422" s="2"/>
      <c r="G422" s="2"/>
      <c r="H422" s="77"/>
      <c r="I422" s="77"/>
      <c r="J422" s="163"/>
      <c r="K422" s="77"/>
      <c r="L422" s="16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6.5" x14ac:dyDescent="0.3">
      <c r="A423" s="2"/>
      <c r="B423" s="2"/>
      <c r="C423" s="2"/>
      <c r="D423" s="4"/>
      <c r="E423" s="2"/>
      <c r="F423" s="2"/>
      <c r="G423" s="2"/>
      <c r="H423" s="77"/>
      <c r="I423" s="77"/>
      <c r="J423" s="163"/>
      <c r="K423" s="77"/>
      <c r="L423" s="16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6.5" x14ac:dyDescent="0.3">
      <c r="A424" s="2"/>
      <c r="B424" s="2"/>
      <c r="C424" s="2"/>
      <c r="D424" s="4"/>
      <c r="E424" s="2"/>
      <c r="F424" s="2"/>
      <c r="G424" s="2"/>
      <c r="H424" s="77"/>
      <c r="I424" s="77"/>
      <c r="J424" s="163"/>
      <c r="K424" s="77"/>
      <c r="L424" s="16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6.5" x14ac:dyDescent="0.3">
      <c r="A425" s="2"/>
      <c r="B425" s="2"/>
      <c r="C425" s="2"/>
      <c r="D425" s="4"/>
      <c r="E425" s="2"/>
      <c r="F425" s="2"/>
      <c r="G425" s="2"/>
      <c r="H425" s="77"/>
      <c r="I425" s="77"/>
      <c r="J425" s="163"/>
      <c r="K425" s="77"/>
      <c r="L425" s="16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6.5" x14ac:dyDescent="0.3">
      <c r="A426" s="2"/>
      <c r="B426" s="2"/>
      <c r="C426" s="2"/>
      <c r="D426" s="4"/>
      <c r="E426" s="2"/>
      <c r="F426" s="2"/>
      <c r="G426" s="2"/>
      <c r="H426" s="77"/>
      <c r="I426" s="77"/>
      <c r="J426" s="163"/>
      <c r="K426" s="77"/>
      <c r="L426" s="16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6.5" x14ac:dyDescent="0.3">
      <c r="A427" s="2"/>
      <c r="B427" s="2"/>
      <c r="C427" s="2"/>
      <c r="D427" s="4"/>
      <c r="E427" s="2"/>
      <c r="F427" s="2"/>
      <c r="G427" s="2"/>
      <c r="H427" s="77"/>
      <c r="I427" s="77"/>
      <c r="J427" s="163"/>
      <c r="K427" s="77"/>
      <c r="L427" s="16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6.5" x14ac:dyDescent="0.3">
      <c r="A428" s="2"/>
      <c r="B428" s="2"/>
      <c r="C428" s="2"/>
      <c r="D428" s="4"/>
      <c r="E428" s="2"/>
      <c r="F428" s="2"/>
      <c r="G428" s="2"/>
      <c r="H428" s="77"/>
      <c r="I428" s="77"/>
      <c r="J428" s="163"/>
      <c r="K428" s="77"/>
      <c r="L428" s="16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6.5" x14ac:dyDescent="0.3">
      <c r="A429" s="2"/>
      <c r="B429" s="2"/>
      <c r="C429" s="2"/>
      <c r="D429" s="4"/>
      <c r="E429" s="2"/>
      <c r="F429" s="2"/>
      <c r="G429" s="2"/>
      <c r="H429" s="77"/>
      <c r="I429" s="77"/>
      <c r="J429" s="163"/>
      <c r="K429" s="77"/>
      <c r="L429" s="16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6.5" x14ac:dyDescent="0.3">
      <c r="A430" s="2"/>
      <c r="B430" s="2"/>
      <c r="C430" s="2"/>
      <c r="D430" s="4"/>
      <c r="E430" s="2"/>
      <c r="F430" s="2"/>
      <c r="G430" s="2"/>
      <c r="H430" s="77"/>
      <c r="I430" s="77"/>
      <c r="J430" s="163"/>
      <c r="K430" s="77"/>
      <c r="L430" s="16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6.5" x14ac:dyDescent="0.3">
      <c r="A431" s="2"/>
      <c r="B431" s="2"/>
      <c r="C431" s="2"/>
      <c r="D431" s="4"/>
      <c r="E431" s="2"/>
      <c r="F431" s="2"/>
      <c r="G431" s="2"/>
      <c r="H431" s="77"/>
      <c r="I431" s="77"/>
      <c r="J431" s="163"/>
      <c r="K431" s="77"/>
      <c r="L431" s="16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6.5" x14ac:dyDescent="0.3">
      <c r="A432" s="2"/>
      <c r="B432" s="2"/>
      <c r="C432" s="2"/>
      <c r="D432" s="4"/>
      <c r="E432" s="2"/>
      <c r="F432" s="2"/>
      <c r="G432" s="2"/>
      <c r="H432" s="77"/>
      <c r="I432" s="77"/>
      <c r="J432" s="163"/>
      <c r="K432" s="77"/>
      <c r="L432" s="16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6.5" x14ac:dyDescent="0.3">
      <c r="A433" s="2"/>
      <c r="B433" s="2"/>
      <c r="C433" s="2"/>
      <c r="D433" s="4"/>
      <c r="E433" s="2"/>
      <c r="F433" s="2"/>
      <c r="G433" s="2"/>
      <c r="H433" s="77"/>
      <c r="I433" s="77"/>
      <c r="J433" s="163"/>
      <c r="K433" s="77"/>
      <c r="L433" s="164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6.5" x14ac:dyDescent="0.3">
      <c r="A434" s="2"/>
      <c r="B434" s="2"/>
      <c r="C434" s="2"/>
      <c r="D434" s="4"/>
      <c r="E434" s="2"/>
      <c r="F434" s="2"/>
      <c r="G434" s="2"/>
      <c r="H434" s="77"/>
      <c r="I434" s="77"/>
      <c r="J434" s="163"/>
      <c r="K434" s="77"/>
      <c r="L434" s="164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6.5" x14ac:dyDescent="0.3">
      <c r="A435" s="2"/>
      <c r="B435" s="2"/>
      <c r="C435" s="2"/>
      <c r="D435" s="4"/>
      <c r="E435" s="2"/>
      <c r="F435" s="2"/>
      <c r="G435" s="2"/>
      <c r="H435" s="77"/>
      <c r="I435" s="77"/>
      <c r="J435" s="163"/>
      <c r="K435" s="77"/>
      <c r="L435" s="16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6.5" x14ac:dyDescent="0.3">
      <c r="A436" s="2"/>
      <c r="B436" s="2"/>
      <c r="C436" s="2"/>
      <c r="D436" s="4"/>
      <c r="E436" s="2"/>
      <c r="F436" s="2"/>
      <c r="G436" s="2"/>
      <c r="H436" s="77"/>
      <c r="I436" s="77"/>
      <c r="J436" s="163"/>
      <c r="K436" s="77"/>
      <c r="L436" s="16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6.5" x14ac:dyDescent="0.3">
      <c r="A437" s="2"/>
      <c r="B437" s="2"/>
      <c r="C437" s="2"/>
      <c r="D437" s="4"/>
      <c r="E437" s="2"/>
      <c r="F437" s="2"/>
      <c r="G437" s="2"/>
      <c r="H437" s="77"/>
      <c r="I437" s="77"/>
      <c r="J437" s="163"/>
      <c r="K437" s="77"/>
      <c r="L437" s="16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6.5" x14ac:dyDescent="0.3">
      <c r="A438" s="2"/>
      <c r="B438" s="2"/>
      <c r="C438" s="2"/>
      <c r="D438" s="4"/>
      <c r="E438" s="2"/>
      <c r="F438" s="2"/>
      <c r="G438" s="2"/>
      <c r="H438" s="77"/>
      <c r="I438" s="77"/>
      <c r="J438" s="163"/>
      <c r="K438" s="77"/>
      <c r="L438" s="164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6.5" x14ac:dyDescent="0.3">
      <c r="A439" s="2"/>
      <c r="B439" s="2"/>
      <c r="C439" s="2"/>
      <c r="D439" s="4"/>
      <c r="E439" s="2"/>
      <c r="F439" s="2"/>
      <c r="G439" s="2"/>
      <c r="H439" s="77"/>
      <c r="I439" s="77"/>
      <c r="J439" s="163"/>
      <c r="K439" s="77"/>
      <c r="L439" s="164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6.5" x14ac:dyDescent="0.3">
      <c r="A440" s="2"/>
      <c r="B440" s="2"/>
      <c r="C440" s="2"/>
      <c r="D440" s="4"/>
      <c r="E440" s="2"/>
      <c r="F440" s="2"/>
      <c r="G440" s="2"/>
      <c r="H440" s="77"/>
      <c r="I440" s="77"/>
      <c r="J440" s="163"/>
      <c r="K440" s="77"/>
      <c r="L440" s="16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6.5" x14ac:dyDescent="0.3">
      <c r="A441" s="2"/>
      <c r="B441" s="2"/>
      <c r="C441" s="2"/>
      <c r="D441" s="4"/>
      <c r="E441" s="2"/>
      <c r="F441" s="2"/>
      <c r="G441" s="2"/>
      <c r="H441" s="77"/>
      <c r="I441" s="77"/>
      <c r="J441" s="163"/>
      <c r="K441" s="77"/>
      <c r="L441" s="164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6.5" x14ac:dyDescent="0.3">
      <c r="A442" s="2"/>
      <c r="B442" s="2"/>
      <c r="C442" s="2"/>
      <c r="D442" s="4"/>
      <c r="E442" s="2"/>
      <c r="F442" s="2"/>
      <c r="G442" s="2"/>
      <c r="H442" s="77"/>
      <c r="I442" s="77"/>
      <c r="J442" s="163"/>
      <c r="K442" s="77"/>
      <c r="L442" s="164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6.5" x14ac:dyDescent="0.3">
      <c r="A443" s="2"/>
      <c r="B443" s="2"/>
      <c r="C443" s="2"/>
      <c r="D443" s="4"/>
      <c r="E443" s="2"/>
      <c r="F443" s="2"/>
      <c r="G443" s="2"/>
      <c r="H443" s="77"/>
      <c r="I443" s="77"/>
      <c r="J443" s="163"/>
      <c r="K443" s="77"/>
      <c r="L443" s="164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6.5" x14ac:dyDescent="0.3">
      <c r="A444" s="2"/>
      <c r="B444" s="2"/>
      <c r="C444" s="2"/>
      <c r="D444" s="4"/>
      <c r="E444" s="2"/>
      <c r="F444" s="2"/>
      <c r="G444" s="2"/>
      <c r="H444" s="77"/>
      <c r="I444" s="77"/>
      <c r="J444" s="163"/>
      <c r="K444" s="77"/>
      <c r="L444" s="16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6.5" x14ac:dyDescent="0.3">
      <c r="A445" s="2"/>
      <c r="B445" s="2"/>
      <c r="C445" s="2"/>
      <c r="D445" s="4"/>
      <c r="E445" s="2"/>
      <c r="F445" s="2"/>
      <c r="G445" s="2"/>
      <c r="H445" s="77"/>
      <c r="I445" s="77"/>
      <c r="J445" s="163"/>
      <c r="K445" s="77"/>
      <c r="L445" s="16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6.5" x14ac:dyDescent="0.3">
      <c r="A446" s="2"/>
      <c r="B446" s="2"/>
      <c r="C446" s="2"/>
      <c r="D446" s="4"/>
      <c r="E446" s="2"/>
      <c r="F446" s="2"/>
      <c r="G446" s="2"/>
      <c r="H446" s="77"/>
      <c r="I446" s="77"/>
      <c r="J446" s="163"/>
      <c r="K446" s="77"/>
      <c r="L446" s="16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6.5" x14ac:dyDescent="0.3">
      <c r="A447" s="2"/>
      <c r="B447" s="2"/>
      <c r="C447" s="2"/>
      <c r="D447" s="4"/>
      <c r="E447" s="2"/>
      <c r="F447" s="2"/>
      <c r="G447" s="2"/>
      <c r="H447" s="77"/>
      <c r="I447" s="77"/>
      <c r="J447" s="163"/>
      <c r="K447" s="77"/>
      <c r="L447" s="16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6.5" x14ac:dyDescent="0.3">
      <c r="A448" s="2"/>
      <c r="B448" s="2"/>
      <c r="C448" s="2"/>
      <c r="D448" s="4"/>
      <c r="E448" s="2"/>
      <c r="F448" s="2"/>
      <c r="G448" s="2"/>
      <c r="H448" s="77"/>
      <c r="I448" s="77"/>
      <c r="J448" s="163"/>
      <c r="K448" s="77"/>
      <c r="L448" s="16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6.5" x14ac:dyDescent="0.3">
      <c r="A449" s="2"/>
      <c r="B449" s="2"/>
      <c r="C449" s="2"/>
      <c r="D449" s="4"/>
      <c r="E449" s="2"/>
      <c r="F449" s="2"/>
      <c r="G449" s="2"/>
      <c r="H449" s="77"/>
      <c r="I449" s="77"/>
      <c r="J449" s="163"/>
      <c r="K449" s="77"/>
      <c r="L449" s="16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6.5" x14ac:dyDescent="0.3">
      <c r="A450" s="2"/>
      <c r="B450" s="2"/>
      <c r="C450" s="2"/>
      <c r="D450" s="4"/>
      <c r="E450" s="2"/>
      <c r="F450" s="2"/>
      <c r="G450" s="2"/>
      <c r="H450" s="77"/>
      <c r="I450" s="77"/>
      <c r="J450" s="163"/>
      <c r="K450" s="77"/>
      <c r="L450" s="16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6.5" x14ac:dyDescent="0.3">
      <c r="A451" s="2"/>
      <c r="B451" s="2"/>
      <c r="C451" s="2"/>
      <c r="D451" s="4"/>
      <c r="E451" s="2"/>
      <c r="F451" s="2"/>
      <c r="G451" s="2"/>
      <c r="H451" s="77"/>
      <c r="I451" s="77"/>
      <c r="J451" s="163"/>
      <c r="K451" s="77"/>
      <c r="L451" s="16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6.5" x14ac:dyDescent="0.3">
      <c r="A452" s="2"/>
      <c r="B452" s="2"/>
      <c r="C452" s="2"/>
      <c r="D452" s="4"/>
      <c r="E452" s="2"/>
      <c r="F452" s="2"/>
      <c r="G452" s="2"/>
      <c r="H452" s="77"/>
      <c r="I452" s="77"/>
      <c r="J452" s="163"/>
      <c r="K452" s="77"/>
      <c r="L452" s="16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6.5" x14ac:dyDescent="0.3">
      <c r="A453" s="2"/>
      <c r="B453" s="2"/>
      <c r="C453" s="2"/>
      <c r="D453" s="4"/>
      <c r="E453" s="2"/>
      <c r="F453" s="2"/>
      <c r="G453" s="2"/>
      <c r="H453" s="77"/>
      <c r="I453" s="77"/>
      <c r="J453" s="163"/>
      <c r="K453" s="77"/>
      <c r="L453" s="16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6.5" x14ac:dyDescent="0.3">
      <c r="A454" s="2"/>
      <c r="B454" s="2"/>
      <c r="C454" s="2"/>
      <c r="D454" s="4"/>
      <c r="E454" s="2"/>
      <c r="F454" s="2"/>
      <c r="G454" s="2"/>
      <c r="H454" s="77"/>
      <c r="I454" s="77"/>
      <c r="J454" s="163"/>
      <c r="K454" s="77"/>
      <c r="L454" s="16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6.5" x14ac:dyDescent="0.3">
      <c r="A455" s="2"/>
      <c r="B455" s="2"/>
      <c r="C455" s="2"/>
      <c r="D455" s="4"/>
      <c r="E455" s="2"/>
      <c r="F455" s="2"/>
      <c r="G455" s="2"/>
      <c r="H455" s="77"/>
      <c r="I455" s="77"/>
      <c r="J455" s="163"/>
      <c r="K455" s="77"/>
      <c r="L455" s="16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6.5" x14ac:dyDescent="0.3">
      <c r="A456" s="2"/>
      <c r="B456" s="2"/>
      <c r="C456" s="2"/>
      <c r="D456" s="4"/>
      <c r="E456" s="2"/>
      <c r="F456" s="2"/>
      <c r="G456" s="2"/>
      <c r="H456" s="77"/>
      <c r="I456" s="77"/>
      <c r="J456" s="163"/>
      <c r="K456" s="77"/>
      <c r="L456" s="16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6.5" x14ac:dyDescent="0.3">
      <c r="A457" s="2"/>
      <c r="B457" s="2"/>
      <c r="C457" s="2"/>
      <c r="D457" s="4"/>
      <c r="E457" s="2"/>
      <c r="F457" s="2"/>
      <c r="G457" s="2"/>
      <c r="H457" s="77"/>
      <c r="I457" s="77"/>
      <c r="J457" s="163"/>
      <c r="K457" s="77"/>
      <c r="L457" s="16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6.5" x14ac:dyDescent="0.3">
      <c r="A458" s="2"/>
      <c r="B458" s="2"/>
      <c r="C458" s="2"/>
      <c r="D458" s="4"/>
      <c r="E458" s="2"/>
      <c r="F458" s="2"/>
      <c r="G458" s="2"/>
      <c r="H458" s="77"/>
      <c r="I458" s="77"/>
      <c r="J458" s="163"/>
      <c r="K458" s="77"/>
      <c r="L458" s="16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6.5" x14ac:dyDescent="0.3">
      <c r="A459" s="2"/>
      <c r="B459" s="2"/>
      <c r="C459" s="2"/>
      <c r="D459" s="4"/>
      <c r="E459" s="2"/>
      <c r="F459" s="2"/>
      <c r="G459" s="2"/>
      <c r="H459" s="77"/>
      <c r="I459" s="77"/>
      <c r="J459" s="163"/>
      <c r="K459" s="77"/>
      <c r="L459" s="16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6.5" x14ac:dyDescent="0.3">
      <c r="A460" s="2"/>
      <c r="B460" s="2"/>
      <c r="C460" s="2"/>
      <c r="D460" s="4"/>
      <c r="E460" s="2"/>
      <c r="F460" s="2"/>
      <c r="G460" s="2"/>
      <c r="H460" s="77"/>
      <c r="I460" s="77"/>
      <c r="J460" s="163"/>
      <c r="K460" s="77"/>
      <c r="L460" s="16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6.5" x14ac:dyDescent="0.3">
      <c r="A461" s="2"/>
      <c r="B461" s="2"/>
      <c r="C461" s="2"/>
      <c r="D461" s="4"/>
      <c r="E461" s="2"/>
      <c r="F461" s="2"/>
      <c r="G461" s="2"/>
      <c r="H461" s="77"/>
      <c r="I461" s="77"/>
      <c r="J461" s="163"/>
      <c r="K461" s="77"/>
      <c r="L461" s="16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6.5" x14ac:dyDescent="0.3">
      <c r="A462" s="2"/>
      <c r="B462" s="2"/>
      <c r="C462" s="2"/>
      <c r="D462" s="4"/>
      <c r="E462" s="2"/>
      <c r="F462" s="2"/>
      <c r="G462" s="2"/>
      <c r="H462" s="77"/>
      <c r="I462" s="77"/>
      <c r="J462" s="163"/>
      <c r="K462" s="77"/>
      <c r="L462" s="16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6.5" x14ac:dyDescent="0.3">
      <c r="A463" s="2"/>
      <c r="B463" s="2"/>
      <c r="C463" s="2"/>
      <c r="D463" s="4"/>
      <c r="E463" s="2"/>
      <c r="F463" s="2"/>
      <c r="G463" s="2"/>
      <c r="H463" s="77"/>
      <c r="I463" s="77"/>
      <c r="J463" s="163"/>
      <c r="K463" s="77"/>
      <c r="L463" s="16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6.5" x14ac:dyDescent="0.3">
      <c r="A464" s="2"/>
      <c r="B464" s="2"/>
      <c r="C464" s="2"/>
      <c r="D464" s="4"/>
      <c r="E464" s="2"/>
      <c r="F464" s="2"/>
      <c r="G464" s="2"/>
      <c r="H464" s="77"/>
      <c r="I464" s="77"/>
      <c r="J464" s="163"/>
      <c r="K464" s="77"/>
      <c r="L464" s="16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6.5" x14ac:dyDescent="0.3">
      <c r="A465" s="2"/>
      <c r="B465" s="2"/>
      <c r="C465" s="2"/>
      <c r="D465" s="4"/>
      <c r="E465" s="2"/>
      <c r="F465" s="2"/>
      <c r="G465" s="2"/>
      <c r="H465" s="77"/>
      <c r="I465" s="77"/>
      <c r="J465" s="163"/>
      <c r="K465" s="77"/>
      <c r="L465" s="16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6.5" x14ac:dyDescent="0.3">
      <c r="A466" s="2"/>
      <c r="B466" s="2"/>
      <c r="C466" s="2"/>
      <c r="D466" s="4"/>
      <c r="E466" s="2"/>
      <c r="F466" s="2"/>
      <c r="G466" s="2"/>
      <c r="H466" s="77"/>
      <c r="I466" s="77"/>
      <c r="J466" s="163"/>
      <c r="K466" s="77"/>
      <c r="L466" s="16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6.5" x14ac:dyDescent="0.3">
      <c r="A467" s="2"/>
      <c r="B467" s="2"/>
      <c r="C467" s="2"/>
      <c r="D467" s="4"/>
      <c r="E467" s="2"/>
      <c r="F467" s="2"/>
      <c r="G467" s="2"/>
      <c r="H467" s="77"/>
      <c r="I467" s="77"/>
      <c r="J467" s="163"/>
      <c r="K467" s="77"/>
      <c r="L467" s="16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6.5" x14ac:dyDescent="0.3">
      <c r="A468" s="2"/>
      <c r="B468" s="2"/>
      <c r="C468" s="2"/>
      <c r="D468" s="4"/>
      <c r="E468" s="2"/>
      <c r="F468" s="2"/>
      <c r="G468" s="2"/>
      <c r="H468" s="77"/>
      <c r="I468" s="77"/>
      <c r="J468" s="163"/>
      <c r="K468" s="77"/>
      <c r="L468" s="164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6.5" x14ac:dyDescent="0.3">
      <c r="A469" s="2"/>
      <c r="B469" s="2"/>
      <c r="C469" s="2"/>
      <c r="D469" s="4"/>
      <c r="E469" s="2"/>
      <c r="F469" s="2"/>
      <c r="G469" s="2"/>
      <c r="H469" s="77"/>
      <c r="I469" s="77"/>
      <c r="J469" s="163"/>
      <c r="K469" s="77"/>
      <c r="L469" s="164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6.5" x14ac:dyDescent="0.3">
      <c r="A470" s="2"/>
      <c r="B470" s="2"/>
      <c r="C470" s="2"/>
      <c r="D470" s="4"/>
      <c r="E470" s="2"/>
      <c r="F470" s="2"/>
      <c r="G470" s="2"/>
      <c r="H470" s="77"/>
      <c r="I470" s="77"/>
      <c r="J470" s="163"/>
      <c r="K470" s="77"/>
      <c r="L470" s="164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6.5" x14ac:dyDescent="0.3">
      <c r="A471" s="2"/>
      <c r="B471" s="2"/>
      <c r="C471" s="2"/>
      <c r="D471" s="4"/>
      <c r="E471" s="2"/>
      <c r="F471" s="2"/>
      <c r="G471" s="2"/>
      <c r="H471" s="77"/>
      <c r="I471" s="77"/>
      <c r="J471" s="163"/>
      <c r="K471" s="77"/>
      <c r="L471" s="164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6.5" x14ac:dyDescent="0.3">
      <c r="A472" s="2"/>
      <c r="B472" s="2"/>
      <c r="C472" s="2"/>
      <c r="D472" s="4"/>
      <c r="E472" s="2"/>
      <c r="F472" s="2"/>
      <c r="G472" s="2"/>
      <c r="H472" s="77"/>
      <c r="I472" s="77"/>
      <c r="J472" s="163"/>
      <c r="K472" s="77"/>
      <c r="L472" s="164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6.5" x14ac:dyDescent="0.3">
      <c r="A473" s="2"/>
      <c r="B473" s="2"/>
      <c r="C473" s="2"/>
      <c r="D473" s="4"/>
      <c r="E473" s="2"/>
      <c r="F473" s="2"/>
      <c r="G473" s="2"/>
      <c r="H473" s="77"/>
      <c r="I473" s="77"/>
      <c r="J473" s="163"/>
      <c r="K473" s="77"/>
      <c r="L473" s="164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6.5" x14ac:dyDescent="0.3">
      <c r="A474" s="2"/>
      <c r="B474" s="2"/>
      <c r="C474" s="2"/>
      <c r="D474" s="4"/>
      <c r="E474" s="2"/>
      <c r="F474" s="2"/>
      <c r="G474" s="2"/>
      <c r="H474" s="77"/>
      <c r="I474" s="77"/>
      <c r="J474" s="163"/>
      <c r="K474" s="77"/>
      <c r="L474" s="164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6.5" x14ac:dyDescent="0.3">
      <c r="A475" s="2"/>
      <c r="B475" s="2"/>
      <c r="C475" s="2"/>
      <c r="D475" s="4"/>
      <c r="E475" s="2"/>
      <c r="F475" s="2"/>
      <c r="G475" s="2"/>
      <c r="H475" s="77"/>
      <c r="I475" s="77"/>
      <c r="J475" s="163"/>
      <c r="K475" s="77"/>
      <c r="L475" s="164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6.5" x14ac:dyDescent="0.3">
      <c r="A476" s="2"/>
      <c r="B476" s="2"/>
      <c r="C476" s="2"/>
      <c r="D476" s="4"/>
      <c r="E476" s="2"/>
      <c r="F476" s="2"/>
      <c r="G476" s="2"/>
      <c r="H476" s="77"/>
      <c r="I476" s="77"/>
      <c r="J476" s="163"/>
      <c r="K476" s="77"/>
      <c r="L476" s="164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6.5" x14ac:dyDescent="0.3">
      <c r="A477" s="2"/>
      <c r="B477" s="2"/>
      <c r="C477" s="2"/>
      <c r="D477" s="4"/>
      <c r="E477" s="2"/>
      <c r="F477" s="2"/>
      <c r="G477" s="2"/>
      <c r="H477" s="77"/>
      <c r="I477" s="77"/>
      <c r="J477" s="163"/>
      <c r="K477" s="77"/>
      <c r="L477" s="16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6.5" x14ac:dyDescent="0.3">
      <c r="A478" s="2"/>
      <c r="B478" s="2"/>
      <c r="C478" s="2"/>
      <c r="D478" s="4"/>
      <c r="E478" s="2"/>
      <c r="F478" s="2"/>
      <c r="G478" s="2"/>
      <c r="H478" s="77"/>
      <c r="I478" s="77"/>
      <c r="J478" s="163"/>
      <c r="K478" s="77"/>
      <c r="L478" s="164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6.5" x14ac:dyDescent="0.3">
      <c r="A479" s="2"/>
      <c r="B479" s="2"/>
      <c r="C479" s="2"/>
      <c r="D479" s="4"/>
      <c r="E479" s="2"/>
      <c r="F479" s="2"/>
      <c r="G479" s="2"/>
      <c r="H479" s="77"/>
      <c r="I479" s="77"/>
      <c r="J479" s="163"/>
      <c r="K479" s="77"/>
      <c r="L479" s="164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6.5" x14ac:dyDescent="0.3">
      <c r="A480" s="2"/>
      <c r="B480" s="2"/>
      <c r="C480" s="2"/>
      <c r="D480" s="4"/>
      <c r="E480" s="2"/>
      <c r="F480" s="2"/>
      <c r="G480" s="2"/>
      <c r="H480" s="77"/>
      <c r="I480" s="77"/>
      <c r="J480" s="163"/>
      <c r="K480" s="77"/>
      <c r="L480" s="164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6.5" x14ac:dyDescent="0.3">
      <c r="A481" s="2"/>
      <c r="B481" s="2"/>
      <c r="C481" s="2"/>
      <c r="D481" s="4"/>
      <c r="E481" s="2"/>
      <c r="F481" s="2"/>
      <c r="G481" s="2"/>
      <c r="H481" s="77"/>
      <c r="I481" s="77"/>
      <c r="J481" s="163"/>
      <c r="K481" s="77"/>
      <c r="L481" s="164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6.5" x14ac:dyDescent="0.3">
      <c r="A482" s="2"/>
      <c r="B482" s="2"/>
      <c r="C482" s="2"/>
      <c r="D482" s="4"/>
      <c r="E482" s="2"/>
      <c r="F482" s="2"/>
      <c r="G482" s="2"/>
      <c r="H482" s="77"/>
      <c r="I482" s="77"/>
      <c r="J482" s="163"/>
      <c r="K482" s="77"/>
      <c r="L482" s="164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6.5" x14ac:dyDescent="0.3">
      <c r="A483" s="2"/>
      <c r="B483" s="2"/>
      <c r="C483" s="2"/>
      <c r="D483" s="4"/>
      <c r="E483" s="2"/>
      <c r="F483" s="2"/>
      <c r="G483" s="2"/>
      <c r="H483" s="77"/>
      <c r="I483" s="77"/>
      <c r="J483" s="163"/>
      <c r="K483" s="77"/>
      <c r="L483" s="16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6.5" x14ac:dyDescent="0.3">
      <c r="A484" s="2"/>
      <c r="B484" s="2"/>
      <c r="C484" s="2"/>
      <c r="D484" s="4"/>
      <c r="E484" s="2"/>
      <c r="F484" s="2"/>
      <c r="G484" s="2"/>
      <c r="H484" s="77"/>
      <c r="I484" s="77"/>
      <c r="J484" s="163"/>
      <c r="K484" s="77"/>
      <c r="L484" s="16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6.5" x14ac:dyDescent="0.3">
      <c r="A485" s="2"/>
      <c r="B485" s="2"/>
      <c r="C485" s="2"/>
      <c r="D485" s="4"/>
      <c r="E485" s="2"/>
      <c r="F485" s="2"/>
      <c r="G485" s="2"/>
      <c r="H485" s="77"/>
      <c r="I485" s="77"/>
      <c r="J485" s="163"/>
      <c r="K485" s="77"/>
      <c r="L485" s="16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6.5" x14ac:dyDescent="0.3">
      <c r="A486" s="2"/>
      <c r="B486" s="2"/>
      <c r="C486" s="2"/>
      <c r="D486" s="4"/>
      <c r="E486" s="2"/>
      <c r="F486" s="2"/>
      <c r="G486" s="2"/>
      <c r="H486" s="77"/>
      <c r="I486" s="77"/>
      <c r="J486" s="163"/>
      <c r="K486" s="77"/>
      <c r="L486" s="164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6.5" x14ac:dyDescent="0.3">
      <c r="A487" s="2"/>
      <c r="B487" s="2"/>
      <c r="C487" s="2"/>
      <c r="D487" s="4"/>
      <c r="E487" s="2"/>
      <c r="F487" s="2"/>
      <c r="G487" s="2"/>
      <c r="H487" s="77"/>
      <c r="I487" s="77"/>
      <c r="J487" s="163"/>
      <c r="K487" s="77"/>
      <c r="L487" s="164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6.5" x14ac:dyDescent="0.3">
      <c r="A488" s="2"/>
      <c r="B488" s="2"/>
      <c r="C488" s="2"/>
      <c r="D488" s="4"/>
      <c r="E488" s="2"/>
      <c r="F488" s="2"/>
      <c r="G488" s="2"/>
      <c r="H488" s="77"/>
      <c r="I488" s="77"/>
      <c r="J488" s="163"/>
      <c r="K488" s="77"/>
      <c r="L488" s="164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6.5" x14ac:dyDescent="0.3">
      <c r="A489" s="2"/>
      <c r="B489" s="2"/>
      <c r="C489" s="2"/>
      <c r="D489" s="4"/>
      <c r="E489" s="2"/>
      <c r="F489" s="2"/>
      <c r="G489" s="2"/>
      <c r="H489" s="77"/>
      <c r="I489" s="77"/>
      <c r="J489" s="163"/>
      <c r="K489" s="77"/>
      <c r="L489" s="164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6.5" x14ac:dyDescent="0.3">
      <c r="A490" s="2"/>
      <c r="B490" s="2"/>
      <c r="C490" s="2"/>
      <c r="D490" s="4"/>
      <c r="E490" s="2"/>
      <c r="F490" s="2"/>
      <c r="G490" s="2"/>
      <c r="H490" s="77"/>
      <c r="I490" s="77"/>
      <c r="J490" s="163"/>
      <c r="K490" s="77"/>
      <c r="L490" s="164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6.5" x14ac:dyDescent="0.3">
      <c r="A491" s="2"/>
      <c r="B491" s="2"/>
      <c r="C491" s="2"/>
      <c r="D491" s="4"/>
      <c r="E491" s="2"/>
      <c r="F491" s="2"/>
      <c r="G491" s="2"/>
      <c r="H491" s="77"/>
      <c r="I491" s="77"/>
      <c r="J491" s="163"/>
      <c r="K491" s="77"/>
      <c r="L491" s="164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6.5" x14ac:dyDescent="0.3">
      <c r="A492" s="2"/>
      <c r="B492" s="2"/>
      <c r="C492" s="2"/>
      <c r="D492" s="4"/>
      <c r="E492" s="2"/>
      <c r="F492" s="2"/>
      <c r="G492" s="2"/>
      <c r="H492" s="77"/>
      <c r="I492" s="77"/>
      <c r="J492" s="163"/>
      <c r="K492" s="77"/>
      <c r="L492" s="16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6.5" x14ac:dyDescent="0.3">
      <c r="A493" s="2"/>
      <c r="B493" s="2"/>
      <c r="C493" s="2"/>
      <c r="D493" s="4"/>
      <c r="E493" s="2"/>
      <c r="F493" s="2"/>
      <c r="G493" s="2"/>
      <c r="H493" s="77"/>
      <c r="I493" s="77"/>
      <c r="J493" s="163"/>
      <c r="K493" s="77"/>
      <c r="L493" s="16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6.5" x14ac:dyDescent="0.3">
      <c r="A494" s="2"/>
      <c r="B494" s="2"/>
      <c r="C494" s="2"/>
      <c r="D494" s="4"/>
      <c r="E494" s="2"/>
      <c r="F494" s="2"/>
      <c r="G494" s="2"/>
      <c r="H494" s="77"/>
      <c r="I494" s="77"/>
      <c r="J494" s="163"/>
      <c r="K494" s="77"/>
      <c r="L494" s="16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6.5" x14ac:dyDescent="0.3">
      <c r="A495" s="2"/>
      <c r="B495" s="2"/>
      <c r="C495" s="2"/>
      <c r="D495" s="4"/>
      <c r="E495" s="2"/>
      <c r="F495" s="2"/>
      <c r="G495" s="2"/>
      <c r="H495" s="77"/>
      <c r="I495" s="77"/>
      <c r="J495" s="163"/>
      <c r="K495" s="77"/>
      <c r="L495" s="16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6.5" x14ac:dyDescent="0.3">
      <c r="A496" s="2"/>
      <c r="B496" s="2"/>
      <c r="C496" s="2"/>
      <c r="D496" s="4"/>
      <c r="E496" s="2"/>
      <c r="F496" s="2"/>
      <c r="G496" s="2"/>
      <c r="H496" s="77"/>
      <c r="I496" s="77"/>
      <c r="J496" s="163"/>
      <c r="K496" s="77"/>
      <c r="L496" s="16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6.5" x14ac:dyDescent="0.3">
      <c r="A497" s="2"/>
      <c r="B497" s="2"/>
      <c r="C497" s="2"/>
      <c r="D497" s="4"/>
      <c r="E497" s="2"/>
      <c r="F497" s="2"/>
      <c r="G497" s="2"/>
      <c r="H497" s="77"/>
      <c r="I497" s="77"/>
      <c r="J497" s="163"/>
      <c r="K497" s="77"/>
      <c r="L497" s="16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6.5" x14ac:dyDescent="0.3">
      <c r="A498" s="2"/>
      <c r="B498" s="2"/>
      <c r="C498" s="2"/>
      <c r="D498" s="4"/>
      <c r="E498" s="2"/>
      <c r="F498" s="2"/>
      <c r="G498" s="2"/>
      <c r="H498" s="77"/>
      <c r="I498" s="77"/>
      <c r="J498" s="163"/>
      <c r="K498" s="77"/>
      <c r="L498" s="16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6.5" x14ac:dyDescent="0.3">
      <c r="A499" s="2"/>
      <c r="B499" s="2"/>
      <c r="C499" s="2"/>
      <c r="D499" s="4"/>
      <c r="E499" s="2"/>
      <c r="F499" s="2"/>
      <c r="G499" s="2"/>
      <c r="H499" s="77"/>
      <c r="I499" s="77"/>
      <c r="J499" s="163"/>
      <c r="K499" s="77"/>
      <c r="L499" s="16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6.5" x14ac:dyDescent="0.3">
      <c r="A500" s="2"/>
      <c r="B500" s="2"/>
      <c r="C500" s="2"/>
      <c r="D500" s="4"/>
      <c r="E500" s="2"/>
      <c r="F500" s="2"/>
      <c r="G500" s="2"/>
      <c r="H500" s="77"/>
      <c r="I500" s="77"/>
      <c r="J500" s="163"/>
      <c r="K500" s="77"/>
      <c r="L500" s="16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6.5" x14ac:dyDescent="0.3">
      <c r="A501" s="2"/>
      <c r="B501" s="2"/>
      <c r="C501" s="2"/>
      <c r="D501" s="4"/>
      <c r="E501" s="2"/>
      <c r="F501" s="2"/>
      <c r="G501" s="2"/>
      <c r="H501" s="77"/>
      <c r="I501" s="77"/>
      <c r="J501" s="163"/>
      <c r="K501" s="77"/>
      <c r="L501" s="16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6.5" x14ac:dyDescent="0.3">
      <c r="A502" s="2"/>
      <c r="B502" s="2"/>
      <c r="C502" s="2"/>
      <c r="D502" s="4"/>
      <c r="E502" s="2"/>
      <c r="F502" s="2"/>
      <c r="G502" s="2"/>
      <c r="H502" s="77"/>
      <c r="I502" s="77"/>
      <c r="J502" s="163"/>
      <c r="K502" s="77"/>
      <c r="L502" s="16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6.5" x14ac:dyDescent="0.3">
      <c r="A503" s="2"/>
      <c r="B503" s="2"/>
      <c r="C503" s="2"/>
      <c r="D503" s="4"/>
      <c r="E503" s="2"/>
      <c r="F503" s="2"/>
      <c r="G503" s="2"/>
      <c r="H503" s="77"/>
      <c r="I503" s="77"/>
      <c r="J503" s="163"/>
      <c r="K503" s="77"/>
      <c r="L503" s="16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6.5" x14ac:dyDescent="0.3">
      <c r="A504" s="2"/>
      <c r="B504" s="2"/>
      <c r="C504" s="2"/>
      <c r="D504" s="4"/>
      <c r="E504" s="2"/>
      <c r="F504" s="2"/>
      <c r="G504" s="2"/>
      <c r="H504" s="77"/>
      <c r="I504" s="77"/>
      <c r="J504" s="163"/>
      <c r="K504" s="77"/>
      <c r="L504" s="16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6.5" x14ac:dyDescent="0.3">
      <c r="A505" s="2"/>
      <c r="B505" s="2"/>
      <c r="C505" s="2"/>
      <c r="D505" s="4"/>
      <c r="E505" s="2"/>
      <c r="F505" s="2"/>
      <c r="G505" s="2"/>
      <c r="H505" s="77"/>
      <c r="I505" s="77"/>
      <c r="J505" s="163"/>
      <c r="K505" s="77"/>
      <c r="L505" s="16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6.5" x14ac:dyDescent="0.3">
      <c r="A506" s="2"/>
      <c r="B506" s="2"/>
      <c r="C506" s="2"/>
      <c r="D506" s="4"/>
      <c r="E506" s="2"/>
      <c r="F506" s="2"/>
      <c r="G506" s="2"/>
      <c r="H506" s="77"/>
      <c r="I506" s="77"/>
      <c r="J506" s="163"/>
      <c r="K506" s="77"/>
      <c r="L506" s="16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6.5" x14ac:dyDescent="0.3">
      <c r="A507" s="2"/>
      <c r="B507" s="2"/>
      <c r="C507" s="2"/>
      <c r="D507" s="4"/>
      <c r="E507" s="2"/>
      <c r="F507" s="2"/>
      <c r="G507" s="2"/>
      <c r="H507" s="77"/>
      <c r="I507" s="77"/>
      <c r="J507" s="163"/>
      <c r="K507" s="77"/>
      <c r="L507" s="16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6.5" x14ac:dyDescent="0.3">
      <c r="A508" s="2"/>
      <c r="B508" s="2"/>
      <c r="C508" s="2"/>
      <c r="D508" s="4"/>
      <c r="E508" s="2"/>
      <c r="F508" s="2"/>
      <c r="G508" s="2"/>
      <c r="H508" s="77"/>
      <c r="I508" s="77"/>
      <c r="J508" s="163"/>
      <c r="K508" s="77"/>
      <c r="L508" s="16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6.5" x14ac:dyDescent="0.3">
      <c r="A509" s="2"/>
      <c r="B509" s="2"/>
      <c r="C509" s="2"/>
      <c r="D509" s="4"/>
      <c r="E509" s="2"/>
      <c r="F509" s="2"/>
      <c r="G509" s="2"/>
      <c r="H509" s="77"/>
      <c r="I509" s="77"/>
      <c r="J509" s="163"/>
      <c r="K509" s="77"/>
      <c r="L509" s="16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6.5" x14ac:dyDescent="0.3">
      <c r="A510" s="2"/>
      <c r="B510" s="2"/>
      <c r="C510" s="2"/>
      <c r="D510" s="4"/>
      <c r="E510" s="2"/>
      <c r="F510" s="2"/>
      <c r="G510" s="2"/>
      <c r="H510" s="77"/>
      <c r="I510" s="77"/>
      <c r="J510" s="163"/>
      <c r="K510" s="77"/>
      <c r="L510" s="16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6.5" x14ac:dyDescent="0.3">
      <c r="A511" s="2"/>
      <c r="B511" s="2"/>
      <c r="C511" s="2"/>
      <c r="D511" s="4"/>
      <c r="E511" s="2"/>
      <c r="F511" s="2"/>
      <c r="G511" s="2"/>
      <c r="H511" s="77"/>
      <c r="I511" s="77"/>
      <c r="J511" s="163"/>
      <c r="K511" s="77"/>
      <c r="L511" s="16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6.5" x14ac:dyDescent="0.3">
      <c r="A512" s="2"/>
      <c r="B512" s="2"/>
      <c r="C512" s="2"/>
      <c r="D512" s="4"/>
      <c r="E512" s="2"/>
      <c r="F512" s="2"/>
      <c r="G512" s="2"/>
      <c r="H512" s="77"/>
      <c r="I512" s="77"/>
      <c r="J512" s="163"/>
      <c r="K512" s="77"/>
      <c r="L512" s="16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6.5" x14ac:dyDescent="0.3">
      <c r="A513" s="2"/>
      <c r="B513" s="2"/>
      <c r="C513" s="2"/>
      <c r="D513" s="4"/>
      <c r="E513" s="2"/>
      <c r="F513" s="2"/>
      <c r="G513" s="2"/>
      <c r="H513" s="77"/>
      <c r="I513" s="77"/>
      <c r="J513" s="163"/>
      <c r="K513" s="77"/>
      <c r="L513" s="16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6.5" x14ac:dyDescent="0.3">
      <c r="A514" s="2"/>
      <c r="B514" s="2"/>
      <c r="C514" s="2"/>
      <c r="D514" s="4"/>
      <c r="E514" s="2"/>
      <c r="F514" s="2"/>
      <c r="G514" s="2"/>
      <c r="H514" s="77"/>
      <c r="I514" s="77"/>
      <c r="J514" s="163"/>
      <c r="K514" s="77"/>
      <c r="L514" s="16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6.5" x14ac:dyDescent="0.3">
      <c r="A515" s="2"/>
      <c r="B515" s="2"/>
      <c r="C515" s="2"/>
      <c r="D515" s="4"/>
      <c r="E515" s="2"/>
      <c r="F515" s="2"/>
      <c r="G515" s="2"/>
      <c r="H515" s="77"/>
      <c r="I515" s="77"/>
      <c r="J515" s="163"/>
      <c r="K515" s="77"/>
      <c r="L515" s="16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6.5" x14ac:dyDescent="0.3">
      <c r="A516" s="2"/>
      <c r="B516" s="2"/>
      <c r="C516" s="2"/>
      <c r="D516" s="4"/>
      <c r="E516" s="2"/>
      <c r="F516" s="2"/>
      <c r="G516" s="2"/>
      <c r="H516" s="77"/>
      <c r="I516" s="77"/>
      <c r="J516" s="163"/>
      <c r="K516" s="77"/>
      <c r="L516" s="164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6.5" x14ac:dyDescent="0.3">
      <c r="A517" s="2"/>
      <c r="B517" s="2"/>
      <c r="C517" s="2"/>
      <c r="D517" s="4"/>
      <c r="E517" s="2"/>
      <c r="F517" s="2"/>
      <c r="G517" s="2"/>
      <c r="H517" s="77"/>
      <c r="I517" s="77"/>
      <c r="J517" s="163"/>
      <c r="K517" s="77"/>
      <c r="L517" s="164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6.5" x14ac:dyDescent="0.3">
      <c r="A518" s="2"/>
      <c r="B518" s="2"/>
      <c r="C518" s="2"/>
      <c r="D518" s="4"/>
      <c r="E518" s="2"/>
      <c r="F518" s="2"/>
      <c r="G518" s="2"/>
      <c r="H518" s="77"/>
      <c r="I518" s="77"/>
      <c r="J518" s="163"/>
      <c r="K518" s="77"/>
      <c r="L518" s="164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6.5" x14ac:dyDescent="0.3">
      <c r="A519" s="2"/>
      <c r="B519" s="2"/>
      <c r="C519" s="2"/>
      <c r="D519" s="4"/>
      <c r="E519" s="2"/>
      <c r="F519" s="2"/>
      <c r="G519" s="2"/>
      <c r="H519" s="77"/>
      <c r="I519" s="77"/>
      <c r="J519" s="163"/>
      <c r="K519" s="77"/>
      <c r="L519" s="164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6.5" x14ac:dyDescent="0.3">
      <c r="A520" s="2"/>
      <c r="B520" s="2"/>
      <c r="C520" s="2"/>
      <c r="D520" s="4"/>
      <c r="E520" s="2"/>
      <c r="F520" s="2"/>
      <c r="G520" s="2"/>
      <c r="H520" s="77"/>
      <c r="I520" s="77"/>
      <c r="J520" s="163"/>
      <c r="K520" s="77"/>
      <c r="L520" s="164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6.5" x14ac:dyDescent="0.3">
      <c r="A521" s="2"/>
      <c r="B521" s="2"/>
      <c r="C521" s="2"/>
      <c r="D521" s="4"/>
      <c r="E521" s="2"/>
      <c r="F521" s="2"/>
      <c r="G521" s="2"/>
      <c r="H521" s="77"/>
      <c r="I521" s="77"/>
      <c r="J521" s="163"/>
      <c r="K521" s="77"/>
      <c r="L521" s="164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6.5" x14ac:dyDescent="0.3">
      <c r="A522" s="2"/>
      <c r="B522" s="2"/>
      <c r="C522" s="2"/>
      <c r="D522" s="4"/>
      <c r="E522" s="2"/>
      <c r="F522" s="2"/>
      <c r="G522" s="2"/>
      <c r="H522" s="77"/>
      <c r="I522" s="77"/>
      <c r="J522" s="163"/>
      <c r="K522" s="77"/>
      <c r="L522" s="164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6.5" x14ac:dyDescent="0.3">
      <c r="A523" s="2"/>
      <c r="B523" s="2"/>
      <c r="C523" s="2"/>
      <c r="D523" s="4"/>
      <c r="E523" s="2"/>
      <c r="F523" s="2"/>
      <c r="G523" s="2"/>
      <c r="H523" s="77"/>
      <c r="I523" s="77"/>
      <c r="J523" s="163"/>
      <c r="K523" s="77"/>
      <c r="L523" s="164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6.5" x14ac:dyDescent="0.3">
      <c r="A524" s="2"/>
      <c r="B524" s="2"/>
      <c r="C524" s="2"/>
      <c r="D524" s="4"/>
      <c r="E524" s="2"/>
      <c r="F524" s="2"/>
      <c r="G524" s="2"/>
      <c r="H524" s="77"/>
      <c r="I524" s="77"/>
      <c r="J524" s="163"/>
      <c r="K524" s="77"/>
      <c r="L524" s="164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6.5" x14ac:dyDescent="0.3">
      <c r="A525" s="2"/>
      <c r="B525" s="2"/>
      <c r="C525" s="2"/>
      <c r="D525" s="4"/>
      <c r="E525" s="2"/>
      <c r="F525" s="2"/>
      <c r="G525" s="2"/>
      <c r="H525" s="77"/>
      <c r="I525" s="77"/>
      <c r="J525" s="163"/>
      <c r="K525" s="77"/>
      <c r="L525" s="164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6.5" x14ac:dyDescent="0.3">
      <c r="A526" s="2"/>
      <c r="B526" s="2"/>
      <c r="C526" s="2"/>
      <c r="D526" s="4"/>
      <c r="E526" s="2"/>
      <c r="F526" s="2"/>
      <c r="G526" s="2"/>
      <c r="H526" s="77"/>
      <c r="I526" s="77"/>
      <c r="J526" s="163"/>
      <c r="K526" s="77"/>
      <c r="L526" s="164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6.5" x14ac:dyDescent="0.3">
      <c r="A527" s="2"/>
      <c r="B527" s="2"/>
      <c r="C527" s="2"/>
      <c r="D527" s="4"/>
      <c r="E527" s="2"/>
      <c r="F527" s="2"/>
      <c r="G527" s="2"/>
      <c r="H527" s="77"/>
      <c r="I527" s="77"/>
      <c r="J527" s="163"/>
      <c r="K527" s="77"/>
      <c r="L527" s="164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6.5" x14ac:dyDescent="0.3">
      <c r="A528" s="2"/>
      <c r="B528" s="2"/>
      <c r="C528" s="2"/>
      <c r="D528" s="4"/>
      <c r="E528" s="2"/>
      <c r="F528" s="2"/>
      <c r="G528" s="2"/>
      <c r="H528" s="77"/>
      <c r="I528" s="77"/>
      <c r="J528" s="163"/>
      <c r="K528" s="77"/>
      <c r="L528" s="164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6.5" x14ac:dyDescent="0.3">
      <c r="A529" s="2"/>
      <c r="B529" s="2"/>
      <c r="C529" s="2"/>
      <c r="D529" s="4"/>
      <c r="E529" s="2"/>
      <c r="F529" s="2"/>
      <c r="G529" s="2"/>
      <c r="H529" s="77"/>
      <c r="I529" s="77"/>
      <c r="J529" s="163"/>
      <c r="K529" s="77"/>
      <c r="L529" s="164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6.5" x14ac:dyDescent="0.3">
      <c r="A530" s="2"/>
      <c r="B530" s="2"/>
      <c r="C530" s="2"/>
      <c r="D530" s="4"/>
      <c r="E530" s="2"/>
      <c r="F530" s="2"/>
      <c r="G530" s="2"/>
      <c r="H530" s="77"/>
      <c r="I530" s="77"/>
      <c r="J530" s="163"/>
      <c r="K530" s="77"/>
      <c r="L530" s="164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6.5" x14ac:dyDescent="0.3">
      <c r="A531" s="2"/>
      <c r="B531" s="2"/>
      <c r="C531" s="2"/>
      <c r="D531" s="4"/>
      <c r="E531" s="2"/>
      <c r="F531" s="2"/>
      <c r="G531" s="2"/>
      <c r="H531" s="77"/>
      <c r="I531" s="77"/>
      <c r="J531" s="163"/>
      <c r="K531" s="77"/>
      <c r="L531" s="164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6.5" x14ac:dyDescent="0.3">
      <c r="A532" s="2"/>
      <c r="B532" s="2"/>
      <c r="C532" s="2"/>
      <c r="D532" s="4"/>
      <c r="E532" s="2"/>
      <c r="F532" s="2"/>
      <c r="G532" s="2"/>
      <c r="H532" s="77"/>
      <c r="I532" s="77"/>
      <c r="J532" s="163"/>
      <c r="K532" s="77"/>
      <c r="L532" s="164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6.5" x14ac:dyDescent="0.3">
      <c r="A533" s="2"/>
      <c r="B533" s="2"/>
      <c r="C533" s="2"/>
      <c r="D533" s="4"/>
      <c r="E533" s="2"/>
      <c r="F533" s="2"/>
      <c r="G533" s="2"/>
      <c r="H533" s="77"/>
      <c r="I533" s="77"/>
      <c r="J533" s="163"/>
      <c r="K533" s="77"/>
      <c r="L533" s="164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6.5" x14ac:dyDescent="0.3">
      <c r="A534" s="2"/>
      <c r="B534" s="2"/>
      <c r="C534" s="2"/>
      <c r="D534" s="4"/>
      <c r="E534" s="2"/>
      <c r="F534" s="2"/>
      <c r="G534" s="2"/>
      <c r="H534" s="77"/>
      <c r="I534" s="77"/>
      <c r="J534" s="163"/>
      <c r="K534" s="77"/>
      <c r="L534" s="164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6.5" x14ac:dyDescent="0.3">
      <c r="A535" s="2"/>
      <c r="B535" s="2"/>
      <c r="C535" s="2"/>
      <c r="D535" s="4"/>
      <c r="E535" s="2"/>
      <c r="F535" s="2"/>
      <c r="G535" s="2"/>
      <c r="H535" s="77"/>
      <c r="I535" s="77"/>
      <c r="J535" s="163"/>
      <c r="K535" s="77"/>
      <c r="L535" s="164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6.5" x14ac:dyDescent="0.3">
      <c r="A536" s="2"/>
      <c r="B536" s="2"/>
      <c r="C536" s="2"/>
      <c r="D536" s="4"/>
      <c r="E536" s="2"/>
      <c r="F536" s="2"/>
      <c r="G536" s="2"/>
      <c r="H536" s="77"/>
      <c r="I536" s="77"/>
      <c r="J536" s="163"/>
      <c r="K536" s="77"/>
      <c r="L536" s="164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6.5" x14ac:dyDescent="0.3">
      <c r="A537" s="2"/>
      <c r="B537" s="2"/>
      <c r="C537" s="2"/>
      <c r="D537" s="4"/>
      <c r="E537" s="2"/>
      <c r="F537" s="2"/>
      <c r="G537" s="2"/>
      <c r="H537" s="77"/>
      <c r="I537" s="77"/>
      <c r="J537" s="163"/>
      <c r="K537" s="77"/>
      <c r="L537" s="164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6.5" x14ac:dyDescent="0.3">
      <c r="A538" s="2"/>
      <c r="B538" s="2"/>
      <c r="C538" s="2"/>
      <c r="D538" s="4"/>
      <c r="E538" s="2"/>
      <c r="F538" s="2"/>
      <c r="G538" s="2"/>
      <c r="H538" s="77"/>
      <c r="I538" s="77"/>
      <c r="J538" s="163"/>
      <c r="K538" s="77"/>
      <c r="L538" s="164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6.5" x14ac:dyDescent="0.3">
      <c r="A539" s="2"/>
      <c r="B539" s="2"/>
      <c r="C539" s="2"/>
      <c r="D539" s="4"/>
      <c r="E539" s="2"/>
      <c r="F539" s="2"/>
      <c r="G539" s="2"/>
      <c r="H539" s="77"/>
      <c r="I539" s="77"/>
      <c r="J539" s="163"/>
      <c r="K539" s="77"/>
      <c r="L539" s="164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6.5" x14ac:dyDescent="0.3">
      <c r="A540" s="2"/>
      <c r="B540" s="2"/>
      <c r="C540" s="2"/>
      <c r="D540" s="4"/>
      <c r="E540" s="2"/>
      <c r="F540" s="2"/>
      <c r="G540" s="2"/>
      <c r="H540" s="77"/>
      <c r="I540" s="77"/>
      <c r="J540" s="163"/>
      <c r="K540" s="77"/>
      <c r="L540" s="164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6.5" x14ac:dyDescent="0.3">
      <c r="A541" s="2"/>
      <c r="B541" s="2"/>
      <c r="C541" s="2"/>
      <c r="D541" s="4"/>
      <c r="E541" s="2"/>
      <c r="F541" s="2"/>
      <c r="G541" s="2"/>
      <c r="H541" s="77"/>
      <c r="I541" s="77"/>
      <c r="J541" s="163"/>
      <c r="K541" s="77"/>
      <c r="L541" s="164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6.5" x14ac:dyDescent="0.3">
      <c r="A542" s="2"/>
      <c r="B542" s="2"/>
      <c r="C542" s="2"/>
      <c r="D542" s="4"/>
      <c r="E542" s="2"/>
      <c r="F542" s="2"/>
      <c r="G542" s="2"/>
      <c r="H542" s="77"/>
      <c r="I542" s="77"/>
      <c r="J542" s="163"/>
      <c r="K542" s="77"/>
      <c r="L542" s="16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6.5" x14ac:dyDescent="0.3">
      <c r="A543" s="2"/>
      <c r="B543" s="2"/>
      <c r="C543" s="2"/>
      <c r="D543" s="4"/>
      <c r="E543" s="2"/>
      <c r="F543" s="2"/>
      <c r="G543" s="2"/>
      <c r="H543" s="77"/>
      <c r="I543" s="77"/>
      <c r="J543" s="163"/>
      <c r="K543" s="77"/>
      <c r="L543" s="16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6.5" x14ac:dyDescent="0.3">
      <c r="A544" s="2"/>
      <c r="B544" s="2"/>
      <c r="C544" s="2"/>
      <c r="D544" s="4"/>
      <c r="E544" s="2"/>
      <c r="F544" s="2"/>
      <c r="G544" s="2"/>
      <c r="H544" s="77"/>
      <c r="I544" s="77"/>
      <c r="J544" s="163"/>
      <c r="K544" s="77"/>
      <c r="L544" s="16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6.5" x14ac:dyDescent="0.3">
      <c r="A545" s="2"/>
      <c r="B545" s="2"/>
      <c r="C545" s="2"/>
      <c r="D545" s="4"/>
      <c r="E545" s="2"/>
      <c r="F545" s="2"/>
      <c r="G545" s="2"/>
      <c r="H545" s="77"/>
      <c r="I545" s="77"/>
      <c r="J545" s="163"/>
      <c r="K545" s="77"/>
      <c r="L545" s="16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6.5" x14ac:dyDescent="0.3">
      <c r="A546" s="2"/>
      <c r="B546" s="2"/>
      <c r="C546" s="2"/>
      <c r="D546" s="4"/>
      <c r="E546" s="2"/>
      <c r="F546" s="2"/>
      <c r="G546" s="2"/>
      <c r="H546" s="77"/>
      <c r="I546" s="77"/>
      <c r="J546" s="163"/>
      <c r="K546" s="77"/>
      <c r="L546" s="16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6.5" x14ac:dyDescent="0.3">
      <c r="A547" s="2"/>
      <c r="B547" s="2"/>
      <c r="C547" s="2"/>
      <c r="D547" s="4"/>
      <c r="E547" s="2"/>
      <c r="F547" s="2"/>
      <c r="G547" s="2"/>
      <c r="H547" s="77"/>
      <c r="I547" s="77"/>
      <c r="J547" s="163"/>
      <c r="K547" s="77"/>
      <c r="L547" s="16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6.5" x14ac:dyDescent="0.3">
      <c r="A548" s="2"/>
      <c r="B548" s="2"/>
      <c r="C548" s="2"/>
      <c r="D548" s="4"/>
      <c r="E548" s="2"/>
      <c r="F548" s="2"/>
      <c r="G548" s="2"/>
      <c r="H548" s="77"/>
      <c r="I548" s="77"/>
      <c r="J548" s="163"/>
      <c r="K548" s="77"/>
      <c r="L548" s="16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6.5" x14ac:dyDescent="0.3">
      <c r="A549" s="2"/>
      <c r="B549" s="2"/>
      <c r="C549" s="2"/>
      <c r="D549" s="4"/>
      <c r="E549" s="2"/>
      <c r="F549" s="2"/>
      <c r="G549" s="2"/>
      <c r="H549" s="77"/>
      <c r="I549" s="77"/>
      <c r="J549" s="163"/>
      <c r="K549" s="77"/>
      <c r="L549" s="16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6.5" x14ac:dyDescent="0.3">
      <c r="A550" s="2"/>
      <c r="B550" s="2"/>
      <c r="C550" s="2"/>
      <c r="D550" s="4"/>
      <c r="E550" s="2"/>
      <c r="F550" s="2"/>
      <c r="G550" s="2"/>
      <c r="H550" s="77"/>
      <c r="I550" s="77"/>
      <c r="J550" s="163"/>
      <c r="K550" s="77"/>
      <c r="L550" s="16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6.5" x14ac:dyDescent="0.3">
      <c r="A551" s="2"/>
      <c r="B551" s="2"/>
      <c r="C551" s="2"/>
      <c r="D551" s="4"/>
      <c r="E551" s="2"/>
      <c r="F551" s="2"/>
      <c r="G551" s="2"/>
      <c r="H551" s="77"/>
      <c r="I551" s="77"/>
      <c r="J551" s="163"/>
      <c r="K551" s="77"/>
      <c r="L551" s="16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6.5" x14ac:dyDescent="0.3">
      <c r="A552" s="2"/>
      <c r="B552" s="2"/>
      <c r="C552" s="2"/>
      <c r="D552" s="4"/>
      <c r="E552" s="2"/>
      <c r="F552" s="2"/>
      <c r="G552" s="2"/>
      <c r="H552" s="77"/>
      <c r="I552" s="77"/>
      <c r="J552" s="163"/>
      <c r="K552" s="77"/>
      <c r="L552" s="164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6.5" x14ac:dyDescent="0.3">
      <c r="A553" s="2"/>
      <c r="B553" s="2"/>
      <c r="C553" s="2"/>
      <c r="D553" s="4"/>
      <c r="E553" s="2"/>
      <c r="F553" s="2"/>
      <c r="G553" s="2"/>
      <c r="H553" s="77"/>
      <c r="I553" s="77"/>
      <c r="J553" s="163"/>
      <c r="K553" s="77"/>
      <c r="L553" s="164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6.5" x14ac:dyDescent="0.3">
      <c r="A554" s="2"/>
      <c r="B554" s="2"/>
      <c r="C554" s="2"/>
      <c r="D554" s="4"/>
      <c r="E554" s="2"/>
      <c r="F554" s="2"/>
      <c r="G554" s="2"/>
      <c r="H554" s="77"/>
      <c r="I554" s="77"/>
      <c r="J554" s="163"/>
      <c r="K554" s="77"/>
      <c r="L554" s="164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6.5" x14ac:dyDescent="0.3">
      <c r="A555" s="2"/>
      <c r="B555" s="2"/>
      <c r="C555" s="2"/>
      <c r="D555" s="4"/>
      <c r="E555" s="2"/>
      <c r="F555" s="2"/>
      <c r="G555" s="2"/>
      <c r="H555" s="77"/>
      <c r="I555" s="77"/>
      <c r="J555" s="163"/>
      <c r="K555" s="77"/>
      <c r="L555" s="164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6.5" x14ac:dyDescent="0.3">
      <c r="A556" s="2"/>
      <c r="B556" s="2"/>
      <c r="C556" s="2"/>
      <c r="D556" s="4"/>
      <c r="E556" s="2"/>
      <c r="F556" s="2"/>
      <c r="G556" s="2"/>
      <c r="H556" s="77"/>
      <c r="I556" s="77"/>
      <c r="J556" s="163"/>
      <c r="K556" s="77"/>
      <c r="L556" s="164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6.5" x14ac:dyDescent="0.3">
      <c r="A557" s="2"/>
      <c r="B557" s="2"/>
      <c r="C557" s="2"/>
      <c r="D557" s="4"/>
      <c r="E557" s="2"/>
      <c r="F557" s="2"/>
      <c r="G557" s="2"/>
      <c r="H557" s="77"/>
      <c r="I557" s="77"/>
      <c r="J557" s="163"/>
      <c r="K557" s="77"/>
      <c r="L557" s="164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6.5" x14ac:dyDescent="0.3">
      <c r="A558" s="2"/>
      <c r="B558" s="2"/>
      <c r="C558" s="2"/>
      <c r="D558" s="4"/>
      <c r="E558" s="2"/>
      <c r="F558" s="2"/>
      <c r="G558" s="2"/>
      <c r="H558" s="77"/>
      <c r="I558" s="77"/>
      <c r="J558" s="163"/>
      <c r="K558" s="77"/>
      <c r="L558" s="164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6.5" x14ac:dyDescent="0.3">
      <c r="A559" s="2"/>
      <c r="B559" s="2"/>
      <c r="C559" s="2"/>
      <c r="D559" s="4"/>
      <c r="E559" s="2"/>
      <c r="F559" s="2"/>
      <c r="G559" s="2"/>
      <c r="H559" s="77"/>
      <c r="I559" s="77"/>
      <c r="J559" s="163"/>
      <c r="K559" s="77"/>
      <c r="L559" s="164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6.5" x14ac:dyDescent="0.3">
      <c r="A560" s="2"/>
      <c r="B560" s="2"/>
      <c r="C560" s="2"/>
      <c r="D560" s="4"/>
      <c r="E560" s="2"/>
      <c r="F560" s="2"/>
      <c r="G560" s="2"/>
      <c r="H560" s="77"/>
      <c r="I560" s="77"/>
      <c r="J560" s="163"/>
      <c r="K560" s="77"/>
      <c r="L560" s="164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6.5" x14ac:dyDescent="0.3">
      <c r="A561" s="2"/>
      <c r="B561" s="2"/>
      <c r="C561" s="2"/>
      <c r="D561" s="4"/>
      <c r="E561" s="2"/>
      <c r="F561" s="2"/>
      <c r="G561" s="2"/>
      <c r="H561" s="77"/>
      <c r="I561" s="77"/>
      <c r="J561" s="163"/>
      <c r="K561" s="77"/>
      <c r="L561" s="164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6.5" x14ac:dyDescent="0.3">
      <c r="A562" s="2"/>
      <c r="B562" s="2"/>
      <c r="C562" s="2"/>
      <c r="D562" s="4"/>
      <c r="E562" s="2"/>
      <c r="F562" s="2"/>
      <c r="G562" s="2"/>
      <c r="H562" s="77"/>
      <c r="I562" s="77"/>
      <c r="J562" s="163"/>
      <c r="K562" s="77"/>
      <c r="L562" s="164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6.5" x14ac:dyDescent="0.3">
      <c r="A563" s="2"/>
      <c r="B563" s="2"/>
      <c r="C563" s="2"/>
      <c r="D563" s="4"/>
      <c r="E563" s="2"/>
      <c r="F563" s="2"/>
      <c r="G563" s="2"/>
      <c r="H563" s="77"/>
      <c r="I563" s="77"/>
      <c r="J563" s="163"/>
      <c r="K563" s="77"/>
      <c r="L563" s="164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6.5" x14ac:dyDescent="0.3">
      <c r="A564" s="2"/>
      <c r="B564" s="2"/>
      <c r="C564" s="2"/>
      <c r="D564" s="4"/>
      <c r="E564" s="2"/>
      <c r="F564" s="2"/>
      <c r="G564" s="2"/>
      <c r="H564" s="77"/>
      <c r="I564" s="77"/>
      <c r="J564" s="163"/>
      <c r="K564" s="77"/>
      <c r="L564" s="16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6.5" x14ac:dyDescent="0.3">
      <c r="A565" s="2"/>
      <c r="B565" s="2"/>
      <c r="C565" s="2"/>
      <c r="D565" s="4"/>
      <c r="E565" s="2"/>
      <c r="F565" s="2"/>
      <c r="G565" s="2"/>
      <c r="H565" s="77"/>
      <c r="I565" s="77"/>
      <c r="J565" s="163"/>
      <c r="K565" s="77"/>
      <c r="L565" s="16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6.5" x14ac:dyDescent="0.3">
      <c r="A566" s="2"/>
      <c r="B566" s="2"/>
      <c r="C566" s="2"/>
      <c r="D566" s="4"/>
      <c r="E566" s="2"/>
      <c r="F566" s="2"/>
      <c r="G566" s="2"/>
      <c r="H566" s="77"/>
      <c r="I566" s="77"/>
      <c r="J566" s="163"/>
      <c r="K566" s="77"/>
      <c r="L566" s="16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6.5" x14ac:dyDescent="0.3">
      <c r="A567" s="2"/>
      <c r="B567" s="2"/>
      <c r="C567" s="2"/>
      <c r="D567" s="4"/>
      <c r="E567" s="2"/>
      <c r="F567" s="2"/>
      <c r="G567" s="2"/>
      <c r="H567" s="77"/>
      <c r="I567" s="77"/>
      <c r="J567" s="163"/>
      <c r="K567" s="77"/>
      <c r="L567" s="16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6.5" x14ac:dyDescent="0.3">
      <c r="A568" s="2"/>
      <c r="B568" s="2"/>
      <c r="C568" s="2"/>
      <c r="D568" s="4"/>
      <c r="E568" s="2"/>
      <c r="F568" s="2"/>
      <c r="G568" s="2"/>
      <c r="H568" s="77"/>
      <c r="I568" s="77"/>
      <c r="J568" s="163"/>
      <c r="K568" s="77"/>
      <c r="L568" s="16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6.5" x14ac:dyDescent="0.3">
      <c r="A569" s="2"/>
      <c r="B569" s="2"/>
      <c r="C569" s="2"/>
      <c r="D569" s="4"/>
      <c r="E569" s="2"/>
      <c r="F569" s="2"/>
      <c r="G569" s="2"/>
      <c r="H569" s="77"/>
      <c r="I569" s="77"/>
      <c r="J569" s="163"/>
      <c r="K569" s="77"/>
      <c r="L569" s="16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6.5" x14ac:dyDescent="0.3">
      <c r="A570" s="2"/>
      <c r="B570" s="2"/>
      <c r="C570" s="2"/>
      <c r="D570" s="4"/>
      <c r="E570" s="2"/>
      <c r="F570" s="2"/>
      <c r="G570" s="2"/>
      <c r="H570" s="77"/>
      <c r="I570" s="77"/>
      <c r="J570" s="163"/>
      <c r="K570" s="77"/>
      <c r="L570" s="16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6.5" x14ac:dyDescent="0.3">
      <c r="A571" s="2"/>
      <c r="B571" s="2"/>
      <c r="C571" s="2"/>
      <c r="D571" s="4"/>
      <c r="E571" s="2"/>
      <c r="F571" s="2"/>
      <c r="G571" s="2"/>
      <c r="H571" s="77"/>
      <c r="I571" s="77"/>
      <c r="J571" s="163"/>
      <c r="K571" s="77"/>
      <c r="L571" s="16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6.5" x14ac:dyDescent="0.3">
      <c r="A572" s="2"/>
      <c r="B572" s="2"/>
      <c r="C572" s="2"/>
      <c r="D572" s="4"/>
      <c r="E572" s="2"/>
      <c r="F572" s="2"/>
      <c r="G572" s="2"/>
      <c r="H572" s="77"/>
      <c r="I572" s="77"/>
      <c r="J572" s="163"/>
      <c r="K572" s="77"/>
      <c r="L572" s="16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6.5" x14ac:dyDescent="0.3">
      <c r="A573" s="2"/>
      <c r="B573" s="2"/>
      <c r="C573" s="2"/>
      <c r="D573" s="4"/>
      <c r="E573" s="2"/>
      <c r="F573" s="2"/>
      <c r="G573" s="2"/>
      <c r="H573" s="77"/>
      <c r="I573" s="77"/>
      <c r="J573" s="163"/>
      <c r="K573" s="77"/>
      <c r="L573" s="16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6.5" x14ac:dyDescent="0.3">
      <c r="A574" s="2"/>
      <c r="B574" s="2"/>
      <c r="C574" s="2"/>
      <c r="D574" s="4"/>
      <c r="E574" s="2"/>
      <c r="F574" s="2"/>
      <c r="G574" s="2"/>
      <c r="H574" s="77"/>
      <c r="I574" s="77"/>
      <c r="J574" s="163"/>
      <c r="K574" s="77"/>
      <c r="L574" s="16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6.5" x14ac:dyDescent="0.3">
      <c r="A575" s="2"/>
      <c r="B575" s="2"/>
      <c r="C575" s="2"/>
      <c r="D575" s="4"/>
      <c r="E575" s="2"/>
      <c r="F575" s="2"/>
      <c r="G575" s="2"/>
      <c r="H575" s="77"/>
      <c r="I575" s="77"/>
      <c r="J575" s="163"/>
      <c r="K575" s="77"/>
      <c r="L575" s="16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6.5" x14ac:dyDescent="0.3">
      <c r="A576" s="2"/>
      <c r="B576" s="2"/>
      <c r="C576" s="2"/>
      <c r="D576" s="4"/>
      <c r="E576" s="2"/>
      <c r="F576" s="2"/>
      <c r="G576" s="2"/>
      <c r="H576" s="77"/>
      <c r="I576" s="77"/>
      <c r="J576" s="163"/>
      <c r="K576" s="77"/>
      <c r="L576" s="16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6.5" x14ac:dyDescent="0.3">
      <c r="A577" s="2"/>
      <c r="B577" s="2"/>
      <c r="C577" s="2"/>
      <c r="D577" s="4"/>
      <c r="E577" s="2"/>
      <c r="F577" s="2"/>
      <c r="G577" s="2"/>
      <c r="H577" s="77"/>
      <c r="I577" s="77"/>
      <c r="J577" s="163"/>
      <c r="K577" s="77"/>
      <c r="L577" s="164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6.5" x14ac:dyDescent="0.3">
      <c r="A578" s="2"/>
      <c r="B578" s="2"/>
      <c r="C578" s="2"/>
      <c r="D578" s="4"/>
      <c r="E578" s="2"/>
      <c r="F578" s="2"/>
      <c r="G578" s="2"/>
      <c r="H578" s="77"/>
      <c r="I578" s="77"/>
      <c r="J578" s="163"/>
      <c r="K578" s="77"/>
      <c r="L578" s="164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6.5" x14ac:dyDescent="0.3">
      <c r="A579" s="2"/>
      <c r="B579" s="2"/>
      <c r="C579" s="2"/>
      <c r="D579" s="4"/>
      <c r="E579" s="2"/>
      <c r="F579" s="2"/>
      <c r="G579" s="2"/>
      <c r="H579" s="77"/>
      <c r="I579" s="77"/>
      <c r="J579" s="163"/>
      <c r="K579" s="77"/>
      <c r="L579" s="164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6.5" x14ac:dyDescent="0.3">
      <c r="A580" s="2"/>
      <c r="B580" s="2"/>
      <c r="C580" s="2"/>
      <c r="D580" s="4"/>
      <c r="E580" s="2"/>
      <c r="F580" s="2"/>
      <c r="G580" s="2"/>
      <c r="H580" s="77"/>
      <c r="I580" s="77"/>
      <c r="J580" s="163"/>
      <c r="K580" s="77"/>
      <c r="L580" s="16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6.5" x14ac:dyDescent="0.3">
      <c r="A581" s="2"/>
      <c r="B581" s="2"/>
      <c r="C581" s="2"/>
      <c r="D581" s="4"/>
      <c r="E581" s="2"/>
      <c r="F581" s="2"/>
      <c r="G581" s="2"/>
      <c r="H581" s="77"/>
      <c r="I581" s="77"/>
      <c r="J581" s="163"/>
      <c r="K581" s="77"/>
      <c r="L581" s="164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6.5" x14ac:dyDescent="0.3">
      <c r="A582" s="2"/>
      <c r="B582" s="2"/>
      <c r="C582" s="2"/>
      <c r="D582" s="4"/>
      <c r="E582" s="2"/>
      <c r="F582" s="2"/>
      <c r="G582" s="2"/>
      <c r="H582" s="77"/>
      <c r="I582" s="77"/>
      <c r="J582" s="163"/>
      <c r="K582" s="77"/>
      <c r="L582" s="16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6.5" x14ac:dyDescent="0.3">
      <c r="A583" s="2"/>
      <c r="B583" s="2"/>
      <c r="C583" s="2"/>
      <c r="D583" s="4"/>
      <c r="E583" s="2"/>
      <c r="F583" s="2"/>
      <c r="G583" s="2"/>
      <c r="H583" s="77"/>
      <c r="I583" s="77"/>
      <c r="J583" s="163"/>
      <c r="K583" s="77"/>
      <c r="L583" s="164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6.5" x14ac:dyDescent="0.3">
      <c r="A584" s="2"/>
      <c r="B584" s="2"/>
      <c r="C584" s="2"/>
      <c r="D584" s="4"/>
      <c r="E584" s="2"/>
      <c r="F584" s="2"/>
      <c r="G584" s="2"/>
      <c r="H584" s="77"/>
      <c r="I584" s="77"/>
      <c r="J584" s="163"/>
      <c r="K584" s="77"/>
      <c r="L584" s="16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6.5" x14ac:dyDescent="0.3">
      <c r="A585" s="2"/>
      <c r="B585" s="2"/>
      <c r="C585" s="2"/>
      <c r="D585" s="4"/>
      <c r="E585" s="2"/>
      <c r="F585" s="2"/>
      <c r="G585" s="2"/>
      <c r="H585" s="77"/>
      <c r="I585" s="77"/>
      <c r="J585" s="163"/>
      <c r="K585" s="77"/>
      <c r="L585" s="16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6.5" x14ac:dyDescent="0.3">
      <c r="A586" s="2"/>
      <c r="B586" s="2"/>
      <c r="C586" s="2"/>
      <c r="D586" s="4"/>
      <c r="E586" s="2"/>
      <c r="F586" s="2"/>
      <c r="G586" s="2"/>
      <c r="H586" s="77"/>
      <c r="I586" s="77"/>
      <c r="J586" s="163"/>
      <c r="K586" s="77"/>
      <c r="L586" s="16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6.5" x14ac:dyDescent="0.3">
      <c r="A587" s="2"/>
      <c r="B587" s="2"/>
      <c r="C587" s="2"/>
      <c r="D587" s="4"/>
      <c r="E587" s="2"/>
      <c r="F587" s="2"/>
      <c r="G587" s="2"/>
      <c r="H587" s="77"/>
      <c r="I587" s="77"/>
      <c r="J587" s="163"/>
      <c r="K587" s="77"/>
      <c r="L587" s="16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6.5" x14ac:dyDescent="0.3">
      <c r="A588" s="2"/>
      <c r="B588" s="2"/>
      <c r="C588" s="2"/>
      <c r="D588" s="4"/>
      <c r="E588" s="2"/>
      <c r="F588" s="2"/>
      <c r="G588" s="2"/>
      <c r="H588" s="77"/>
      <c r="I588" s="77"/>
      <c r="J588" s="163"/>
      <c r="K588" s="77"/>
      <c r="L588" s="16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6.5" x14ac:dyDescent="0.3">
      <c r="A589" s="2"/>
      <c r="B589" s="2"/>
      <c r="C589" s="2"/>
      <c r="D589" s="4"/>
      <c r="E589" s="2"/>
      <c r="F589" s="2"/>
      <c r="G589" s="2"/>
      <c r="H589" s="77"/>
      <c r="I589" s="77"/>
      <c r="J589" s="163"/>
      <c r="K589" s="77"/>
      <c r="L589" s="16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6.5" x14ac:dyDescent="0.3">
      <c r="A590" s="2"/>
      <c r="B590" s="2"/>
      <c r="C590" s="2"/>
      <c r="D590" s="4"/>
      <c r="E590" s="2"/>
      <c r="F590" s="2"/>
      <c r="G590" s="2"/>
      <c r="H590" s="77"/>
      <c r="I590" s="77"/>
      <c r="J590" s="163"/>
      <c r="K590" s="77"/>
      <c r="L590" s="16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6.5" x14ac:dyDescent="0.3">
      <c r="A591" s="2"/>
      <c r="B591" s="2"/>
      <c r="C591" s="2"/>
      <c r="D591" s="4"/>
      <c r="E591" s="2"/>
      <c r="F591" s="2"/>
      <c r="G591" s="2"/>
      <c r="H591" s="77"/>
      <c r="I591" s="77"/>
      <c r="J591" s="163"/>
      <c r="K591" s="77"/>
      <c r="L591" s="16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6.5" x14ac:dyDescent="0.3">
      <c r="A592" s="2"/>
      <c r="B592" s="2"/>
      <c r="C592" s="2"/>
      <c r="D592" s="4"/>
      <c r="E592" s="2"/>
      <c r="F592" s="2"/>
      <c r="G592" s="2"/>
      <c r="H592" s="77"/>
      <c r="I592" s="77"/>
      <c r="J592" s="163"/>
      <c r="K592" s="77"/>
      <c r="L592" s="16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6.5" x14ac:dyDescent="0.3">
      <c r="A593" s="2"/>
      <c r="B593" s="2"/>
      <c r="C593" s="2"/>
      <c r="D593" s="4"/>
      <c r="E593" s="2"/>
      <c r="F593" s="2"/>
      <c r="G593" s="2"/>
      <c r="H593" s="77"/>
      <c r="I593" s="77"/>
      <c r="J593" s="163"/>
      <c r="K593" s="77"/>
      <c r="L593" s="16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6.5" x14ac:dyDescent="0.3">
      <c r="A594" s="2"/>
      <c r="B594" s="2"/>
      <c r="C594" s="2"/>
      <c r="D594" s="4"/>
      <c r="E594" s="2"/>
      <c r="F594" s="2"/>
      <c r="G594" s="2"/>
      <c r="H594" s="77"/>
      <c r="I594" s="77"/>
      <c r="J594" s="163"/>
      <c r="K594" s="77"/>
      <c r="L594" s="16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6.5" x14ac:dyDescent="0.3">
      <c r="A595" s="2"/>
      <c r="B595" s="2"/>
      <c r="C595" s="2"/>
      <c r="D595" s="4"/>
      <c r="E595" s="2"/>
      <c r="F595" s="2"/>
      <c r="G595" s="2"/>
      <c r="H595" s="77"/>
      <c r="I595" s="77"/>
      <c r="J595" s="163"/>
      <c r="K595" s="77"/>
      <c r="L595" s="164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6.5" x14ac:dyDescent="0.3">
      <c r="A596" s="2"/>
      <c r="B596" s="2"/>
      <c r="C596" s="2"/>
      <c r="D596" s="4"/>
      <c r="E596" s="2"/>
      <c r="F596" s="2"/>
      <c r="G596" s="2"/>
      <c r="H596" s="77"/>
      <c r="I596" s="77"/>
      <c r="J596" s="163"/>
      <c r="K596" s="77"/>
      <c r="L596" s="164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6.5" x14ac:dyDescent="0.3">
      <c r="A597" s="2"/>
      <c r="B597" s="2"/>
      <c r="C597" s="2"/>
      <c r="D597" s="4"/>
      <c r="E597" s="2"/>
      <c r="F597" s="2"/>
      <c r="G597" s="2"/>
      <c r="H597" s="77"/>
      <c r="I597" s="77"/>
      <c r="J597" s="163"/>
      <c r="K597" s="77"/>
      <c r="L597" s="164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6.5" x14ac:dyDescent="0.3">
      <c r="A598" s="2"/>
      <c r="B598" s="2"/>
      <c r="C598" s="2"/>
      <c r="D598" s="4"/>
      <c r="E598" s="2"/>
      <c r="F598" s="2"/>
      <c r="G598" s="2"/>
      <c r="H598" s="77"/>
      <c r="I598" s="77"/>
      <c r="J598" s="163"/>
      <c r="K598" s="77"/>
      <c r="L598" s="16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6.5" x14ac:dyDescent="0.3">
      <c r="A599" s="2"/>
      <c r="B599" s="2"/>
      <c r="C599" s="2"/>
      <c r="D599" s="4"/>
      <c r="E599" s="2"/>
      <c r="F599" s="2"/>
      <c r="G599" s="2"/>
      <c r="H599" s="77"/>
      <c r="I599" s="77"/>
      <c r="J599" s="163"/>
      <c r="K599" s="77"/>
      <c r="L599" s="164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6.5" x14ac:dyDescent="0.3">
      <c r="A600" s="2"/>
      <c r="B600" s="2"/>
      <c r="C600" s="2"/>
      <c r="D600" s="4"/>
      <c r="E600" s="2"/>
      <c r="F600" s="2"/>
      <c r="G600" s="2"/>
      <c r="H600" s="77"/>
      <c r="I600" s="77"/>
      <c r="J600" s="163"/>
      <c r="K600" s="77"/>
      <c r="L600" s="164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6.5" x14ac:dyDescent="0.3">
      <c r="A601" s="2"/>
      <c r="B601" s="2"/>
      <c r="C601" s="2"/>
      <c r="D601" s="4"/>
      <c r="E601" s="2"/>
      <c r="F601" s="2"/>
      <c r="G601" s="2"/>
      <c r="H601" s="77"/>
      <c r="I601" s="77"/>
      <c r="J601" s="163"/>
      <c r="K601" s="77"/>
      <c r="L601" s="164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6.5" x14ac:dyDescent="0.3">
      <c r="A602" s="2"/>
      <c r="B602" s="2"/>
      <c r="C602" s="2"/>
      <c r="D602" s="4"/>
      <c r="E602" s="2"/>
      <c r="F602" s="2"/>
      <c r="G602" s="2"/>
      <c r="H602" s="77"/>
      <c r="I602" s="77"/>
      <c r="J602" s="163"/>
      <c r="K602" s="77"/>
      <c r="L602" s="164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6.5" x14ac:dyDescent="0.3">
      <c r="A603" s="2"/>
      <c r="B603" s="2"/>
      <c r="C603" s="2"/>
      <c r="D603" s="4"/>
      <c r="E603" s="2"/>
      <c r="F603" s="2"/>
      <c r="G603" s="2"/>
      <c r="H603" s="77"/>
      <c r="I603" s="77"/>
      <c r="J603" s="163"/>
      <c r="K603" s="77"/>
      <c r="L603" s="164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6.5" x14ac:dyDescent="0.3">
      <c r="A604" s="2"/>
      <c r="B604" s="2"/>
      <c r="C604" s="2"/>
      <c r="D604" s="4"/>
      <c r="E604" s="2"/>
      <c r="F604" s="2"/>
      <c r="G604" s="2"/>
      <c r="H604" s="77"/>
      <c r="I604" s="77"/>
      <c r="J604" s="163"/>
      <c r="K604" s="77"/>
      <c r="L604" s="164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6.5" x14ac:dyDescent="0.3">
      <c r="A605" s="2"/>
      <c r="B605" s="2"/>
      <c r="C605" s="2"/>
      <c r="D605" s="4"/>
      <c r="E605" s="2"/>
      <c r="F605" s="2"/>
      <c r="G605" s="2"/>
      <c r="H605" s="77"/>
      <c r="I605" s="77"/>
      <c r="J605" s="163"/>
      <c r="K605" s="77"/>
      <c r="L605" s="164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6.5" x14ac:dyDescent="0.3">
      <c r="A606" s="2"/>
      <c r="B606" s="2"/>
      <c r="C606" s="2"/>
      <c r="D606" s="4"/>
      <c r="E606" s="2"/>
      <c r="F606" s="2"/>
      <c r="G606" s="2"/>
      <c r="H606" s="77"/>
      <c r="I606" s="77"/>
      <c r="J606" s="163"/>
      <c r="K606" s="77"/>
      <c r="L606" s="164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6.5" x14ac:dyDescent="0.3">
      <c r="A607" s="2"/>
      <c r="B607" s="2"/>
      <c r="C607" s="2"/>
      <c r="D607" s="4"/>
      <c r="E607" s="2"/>
      <c r="F607" s="2"/>
      <c r="G607" s="2"/>
      <c r="H607" s="77"/>
      <c r="I607" s="77"/>
      <c r="J607" s="163"/>
      <c r="K607" s="77"/>
      <c r="L607" s="164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6.5" x14ac:dyDescent="0.3">
      <c r="A608" s="2"/>
      <c r="B608" s="2"/>
      <c r="C608" s="2"/>
      <c r="D608" s="4"/>
      <c r="E608" s="2"/>
      <c r="F608" s="2"/>
      <c r="G608" s="2"/>
      <c r="H608" s="77"/>
      <c r="I608" s="77"/>
      <c r="J608" s="163"/>
      <c r="K608" s="77"/>
      <c r="L608" s="164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6.5" x14ac:dyDescent="0.3">
      <c r="A609" s="2"/>
      <c r="B609" s="2"/>
      <c r="C609" s="2"/>
      <c r="D609" s="4"/>
      <c r="E609" s="2"/>
      <c r="F609" s="2"/>
      <c r="G609" s="2"/>
      <c r="H609" s="77"/>
      <c r="I609" s="77"/>
      <c r="J609" s="163"/>
      <c r="K609" s="77"/>
      <c r="L609" s="164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6.5" x14ac:dyDescent="0.3">
      <c r="A610" s="2"/>
      <c r="B610" s="2"/>
      <c r="C610" s="2"/>
      <c r="D610" s="4"/>
      <c r="E610" s="2"/>
      <c r="F610" s="2"/>
      <c r="G610" s="2"/>
      <c r="H610" s="77"/>
      <c r="I610" s="77"/>
      <c r="J610" s="163"/>
      <c r="K610" s="77"/>
      <c r="L610" s="164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6.5" x14ac:dyDescent="0.3">
      <c r="A611" s="2"/>
      <c r="B611" s="2"/>
      <c r="C611" s="2"/>
      <c r="D611" s="4"/>
      <c r="E611" s="2"/>
      <c r="F611" s="2"/>
      <c r="G611" s="2"/>
      <c r="H611" s="77"/>
      <c r="I611" s="77"/>
      <c r="J611" s="163"/>
      <c r="K611" s="77"/>
      <c r="L611" s="16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6.5" x14ac:dyDescent="0.3">
      <c r="A612" s="2"/>
      <c r="B612" s="2"/>
      <c r="C612" s="2"/>
      <c r="D612" s="4"/>
      <c r="E612" s="2"/>
      <c r="F612" s="2"/>
      <c r="G612" s="2"/>
      <c r="H612" s="77"/>
      <c r="I612" s="77"/>
      <c r="J612" s="163"/>
      <c r="K612" s="77"/>
      <c r="L612" s="164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6.5" x14ac:dyDescent="0.3">
      <c r="A613" s="2"/>
      <c r="B613" s="2"/>
      <c r="C613" s="2"/>
      <c r="D613" s="4"/>
      <c r="E613" s="2"/>
      <c r="F613" s="2"/>
      <c r="G613" s="2"/>
      <c r="H613" s="77"/>
      <c r="I613" s="77"/>
      <c r="J613" s="163"/>
      <c r="K613" s="77"/>
      <c r="L613" s="164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6.5" x14ac:dyDescent="0.3">
      <c r="A614" s="2"/>
      <c r="B614" s="2"/>
      <c r="C614" s="2"/>
      <c r="D614" s="4"/>
      <c r="E614" s="2"/>
      <c r="F614" s="2"/>
      <c r="G614" s="2"/>
      <c r="H614" s="77"/>
      <c r="I614" s="77"/>
      <c r="J614" s="163"/>
      <c r="K614" s="77"/>
      <c r="L614" s="164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6.5" x14ac:dyDescent="0.3">
      <c r="A615" s="2"/>
      <c r="B615" s="2"/>
      <c r="C615" s="2"/>
      <c r="D615" s="4"/>
      <c r="E615" s="2"/>
      <c r="F615" s="2"/>
      <c r="G615" s="2"/>
      <c r="H615" s="77"/>
      <c r="I615" s="77"/>
      <c r="J615" s="163"/>
      <c r="K615" s="77"/>
      <c r="L615" s="16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6.5" x14ac:dyDescent="0.3">
      <c r="A616" s="2"/>
      <c r="B616" s="2"/>
      <c r="C616" s="2"/>
      <c r="D616" s="4"/>
      <c r="E616" s="2"/>
      <c r="F616" s="2"/>
      <c r="G616" s="2"/>
      <c r="H616" s="77"/>
      <c r="I616" s="77"/>
      <c r="J616" s="163"/>
      <c r="K616" s="77"/>
      <c r="L616" s="16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6.5" x14ac:dyDescent="0.3">
      <c r="A617" s="2"/>
      <c r="B617" s="2"/>
      <c r="C617" s="2"/>
      <c r="D617" s="4"/>
      <c r="E617" s="2"/>
      <c r="F617" s="2"/>
      <c r="G617" s="2"/>
      <c r="H617" s="77"/>
      <c r="I617" s="77"/>
      <c r="J617" s="163"/>
      <c r="K617" s="77"/>
      <c r="L617" s="16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6.5" x14ac:dyDescent="0.3">
      <c r="A618" s="2"/>
      <c r="B618" s="2"/>
      <c r="C618" s="2"/>
      <c r="D618" s="4"/>
      <c r="E618" s="2"/>
      <c r="F618" s="2"/>
      <c r="G618" s="2"/>
      <c r="H618" s="77"/>
      <c r="I618" s="77"/>
      <c r="J618" s="163"/>
      <c r="K618" s="77"/>
      <c r="L618" s="16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6.5" x14ac:dyDescent="0.3">
      <c r="A619" s="2"/>
      <c r="B619" s="2"/>
      <c r="C619" s="2"/>
      <c r="D619" s="4"/>
      <c r="E619" s="2"/>
      <c r="F619" s="2"/>
      <c r="G619" s="2"/>
      <c r="H619" s="77"/>
      <c r="I619" s="77"/>
      <c r="J619" s="163"/>
      <c r="K619" s="77"/>
      <c r="L619" s="16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6.5" x14ac:dyDescent="0.3">
      <c r="A620" s="2"/>
      <c r="B620" s="2"/>
      <c r="C620" s="2"/>
      <c r="D620" s="4"/>
      <c r="E620" s="2"/>
      <c r="F620" s="2"/>
      <c r="G620" s="2"/>
      <c r="H620" s="77"/>
      <c r="I620" s="77"/>
      <c r="J620" s="163"/>
      <c r="K620" s="77"/>
      <c r="L620" s="16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6.5" x14ac:dyDescent="0.3">
      <c r="A621" s="2"/>
      <c r="B621" s="2"/>
      <c r="C621" s="2"/>
      <c r="D621" s="4"/>
      <c r="E621" s="2"/>
      <c r="F621" s="2"/>
      <c r="G621" s="2"/>
      <c r="H621" s="77"/>
      <c r="I621" s="77"/>
      <c r="J621" s="163"/>
      <c r="K621" s="77"/>
      <c r="L621" s="16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6.5" x14ac:dyDescent="0.3">
      <c r="A622" s="2"/>
      <c r="B622" s="2"/>
      <c r="C622" s="2"/>
      <c r="D622" s="4"/>
      <c r="E622" s="2"/>
      <c r="F622" s="2"/>
      <c r="G622" s="2"/>
      <c r="H622" s="77"/>
      <c r="I622" s="77"/>
      <c r="J622" s="163"/>
      <c r="K622" s="77"/>
      <c r="L622" s="16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6.5" x14ac:dyDescent="0.3">
      <c r="A623" s="2"/>
      <c r="B623" s="2"/>
      <c r="C623" s="2"/>
      <c r="D623" s="4"/>
      <c r="E623" s="2"/>
      <c r="F623" s="2"/>
      <c r="G623" s="2"/>
      <c r="H623" s="77"/>
      <c r="I623" s="77"/>
      <c r="J623" s="163"/>
      <c r="K623" s="77"/>
      <c r="L623" s="16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6.5" x14ac:dyDescent="0.3">
      <c r="A624" s="2"/>
      <c r="B624" s="2"/>
      <c r="C624" s="2"/>
      <c r="D624" s="4"/>
      <c r="E624" s="2"/>
      <c r="F624" s="2"/>
      <c r="G624" s="2"/>
      <c r="H624" s="77"/>
      <c r="I624" s="77"/>
      <c r="J624" s="163"/>
      <c r="K624" s="77"/>
      <c r="L624" s="16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6.5" x14ac:dyDescent="0.3">
      <c r="A625" s="2"/>
      <c r="B625" s="2"/>
      <c r="C625" s="2"/>
      <c r="D625" s="4"/>
      <c r="E625" s="2"/>
      <c r="F625" s="2"/>
      <c r="G625" s="2"/>
      <c r="H625" s="77"/>
      <c r="I625" s="77"/>
      <c r="J625" s="163"/>
      <c r="K625" s="77"/>
      <c r="L625" s="16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6.5" x14ac:dyDescent="0.3">
      <c r="A626" s="2"/>
      <c r="B626" s="2"/>
      <c r="C626" s="2"/>
      <c r="D626" s="4"/>
      <c r="E626" s="2"/>
      <c r="F626" s="2"/>
      <c r="G626" s="2"/>
      <c r="H626" s="77"/>
      <c r="I626" s="77"/>
      <c r="J626" s="163"/>
      <c r="K626" s="77"/>
      <c r="L626" s="16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6.5" x14ac:dyDescent="0.3">
      <c r="A627" s="2"/>
      <c r="B627" s="2"/>
      <c r="C627" s="2"/>
      <c r="D627" s="4"/>
      <c r="E627" s="2"/>
      <c r="F627" s="2"/>
      <c r="G627" s="2"/>
      <c r="H627" s="77"/>
      <c r="I627" s="77"/>
      <c r="J627" s="163"/>
      <c r="K627" s="77"/>
      <c r="L627" s="16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6.5" x14ac:dyDescent="0.3">
      <c r="A628" s="2"/>
      <c r="B628" s="2"/>
      <c r="C628" s="2"/>
      <c r="D628" s="4"/>
      <c r="E628" s="2"/>
      <c r="F628" s="2"/>
      <c r="G628" s="2"/>
      <c r="H628" s="77"/>
      <c r="I628" s="77"/>
      <c r="J628" s="163"/>
      <c r="K628" s="77"/>
      <c r="L628" s="16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6.5" x14ac:dyDescent="0.3">
      <c r="A629" s="2"/>
      <c r="B629" s="2"/>
      <c r="C629" s="2"/>
      <c r="D629" s="4"/>
      <c r="E629" s="2"/>
      <c r="F629" s="2"/>
      <c r="G629" s="2"/>
      <c r="H629" s="77"/>
      <c r="I629" s="77"/>
      <c r="J629" s="163"/>
      <c r="K629" s="77"/>
      <c r="L629" s="16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6.5" x14ac:dyDescent="0.3">
      <c r="A630" s="2"/>
      <c r="B630" s="2"/>
      <c r="C630" s="2"/>
      <c r="D630" s="4"/>
      <c r="E630" s="2"/>
      <c r="F630" s="2"/>
      <c r="G630" s="2"/>
      <c r="H630" s="77"/>
      <c r="I630" s="77"/>
      <c r="J630" s="163"/>
      <c r="K630" s="77"/>
      <c r="L630" s="164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6.5" x14ac:dyDescent="0.3">
      <c r="A631" s="2"/>
      <c r="B631" s="2"/>
      <c r="C631" s="2"/>
      <c r="D631" s="4"/>
      <c r="E631" s="2"/>
      <c r="F631" s="2"/>
      <c r="G631" s="2"/>
      <c r="H631" s="77"/>
      <c r="I631" s="77"/>
      <c r="J631" s="163"/>
      <c r="K631" s="77"/>
      <c r="L631" s="164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6.5" x14ac:dyDescent="0.3">
      <c r="A632" s="2"/>
      <c r="B632" s="2"/>
      <c r="C632" s="2"/>
      <c r="D632" s="4"/>
      <c r="E632" s="2"/>
      <c r="F632" s="2"/>
      <c r="G632" s="2"/>
      <c r="H632" s="77"/>
      <c r="I632" s="77"/>
      <c r="J632" s="163"/>
      <c r="K632" s="77"/>
      <c r="L632" s="164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6.5" x14ac:dyDescent="0.3">
      <c r="A633" s="2"/>
      <c r="B633" s="2"/>
      <c r="C633" s="2"/>
      <c r="D633" s="4"/>
      <c r="E633" s="2"/>
      <c r="F633" s="2"/>
      <c r="G633" s="2"/>
      <c r="H633" s="77"/>
      <c r="I633" s="77"/>
      <c r="J633" s="163"/>
      <c r="K633" s="77"/>
      <c r="L633" s="164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6.5" x14ac:dyDescent="0.3">
      <c r="A634" s="2"/>
      <c r="B634" s="2"/>
      <c r="C634" s="2"/>
      <c r="D634" s="4"/>
      <c r="E634" s="2"/>
      <c r="F634" s="2"/>
      <c r="G634" s="2"/>
      <c r="H634" s="77"/>
      <c r="I634" s="77"/>
      <c r="J634" s="163"/>
      <c r="K634" s="77"/>
      <c r="L634" s="164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6.5" x14ac:dyDescent="0.3">
      <c r="A635" s="2"/>
      <c r="B635" s="2"/>
      <c r="C635" s="2"/>
      <c r="D635" s="4"/>
      <c r="E635" s="2"/>
      <c r="F635" s="2"/>
      <c r="G635" s="2"/>
      <c r="H635" s="77"/>
      <c r="I635" s="77"/>
      <c r="J635" s="163"/>
      <c r="K635" s="77"/>
      <c r="L635" s="164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6.5" x14ac:dyDescent="0.3">
      <c r="A636" s="2"/>
      <c r="B636" s="2"/>
      <c r="C636" s="2"/>
      <c r="D636" s="4"/>
      <c r="E636" s="2"/>
      <c r="F636" s="2"/>
      <c r="G636" s="2"/>
      <c r="H636" s="77"/>
      <c r="I636" s="77"/>
      <c r="J636" s="163"/>
      <c r="K636" s="77"/>
      <c r="L636" s="16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6.5" x14ac:dyDescent="0.3">
      <c r="A637" s="2"/>
      <c r="B637" s="2"/>
      <c r="C637" s="2"/>
      <c r="D637" s="4"/>
      <c r="E637" s="2"/>
      <c r="F637" s="2"/>
      <c r="G637" s="2"/>
      <c r="H637" s="77"/>
      <c r="I637" s="77"/>
      <c r="J637" s="163"/>
      <c r="K637" s="77"/>
      <c r="L637" s="164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6.5" x14ac:dyDescent="0.3">
      <c r="A638" s="2"/>
      <c r="B638" s="2"/>
      <c r="C638" s="2"/>
      <c r="D638" s="4"/>
      <c r="E638" s="2"/>
      <c r="F638" s="2"/>
      <c r="G638" s="2"/>
      <c r="H638" s="77"/>
      <c r="I638" s="77"/>
      <c r="J638" s="163"/>
      <c r="K638" s="77"/>
      <c r="L638" s="164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6.5" x14ac:dyDescent="0.3">
      <c r="A639" s="2"/>
      <c r="B639" s="2"/>
      <c r="C639" s="2"/>
      <c r="D639" s="4"/>
      <c r="E639" s="2"/>
      <c r="F639" s="2"/>
      <c r="G639" s="2"/>
      <c r="H639" s="77"/>
      <c r="I639" s="77"/>
      <c r="J639" s="163"/>
      <c r="K639" s="77"/>
      <c r="L639" s="164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6.5" x14ac:dyDescent="0.3">
      <c r="A640" s="2"/>
      <c r="B640" s="2"/>
      <c r="C640" s="2"/>
      <c r="D640" s="4"/>
      <c r="E640" s="2"/>
      <c r="F640" s="2"/>
      <c r="G640" s="2"/>
      <c r="H640" s="77"/>
      <c r="I640" s="77"/>
      <c r="J640" s="163"/>
      <c r="K640" s="77"/>
      <c r="L640" s="16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6.5" x14ac:dyDescent="0.3">
      <c r="A641" s="2"/>
      <c r="B641" s="2"/>
      <c r="C641" s="2"/>
      <c r="D641" s="4"/>
      <c r="E641" s="2"/>
      <c r="F641" s="2"/>
      <c r="G641" s="2"/>
      <c r="H641" s="77"/>
      <c r="I641" s="77"/>
      <c r="J641" s="163"/>
      <c r="K641" s="77"/>
      <c r="L641" s="164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6.5" x14ac:dyDescent="0.3">
      <c r="A642" s="2"/>
      <c r="B642" s="2"/>
      <c r="C642" s="2"/>
      <c r="D642" s="4"/>
      <c r="E642" s="2"/>
      <c r="F642" s="2"/>
      <c r="G642" s="2"/>
      <c r="H642" s="77"/>
      <c r="I642" s="77"/>
      <c r="J642" s="163"/>
      <c r="K642" s="77"/>
      <c r="L642" s="164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6.5" x14ac:dyDescent="0.3">
      <c r="A643" s="2"/>
      <c r="B643" s="2"/>
      <c r="C643" s="2"/>
      <c r="D643" s="4"/>
      <c r="E643" s="2"/>
      <c r="F643" s="2"/>
      <c r="G643" s="2"/>
      <c r="H643" s="77"/>
      <c r="I643" s="77"/>
      <c r="J643" s="163"/>
      <c r="K643" s="77"/>
      <c r="L643" s="164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6.5" x14ac:dyDescent="0.3">
      <c r="A644" s="2"/>
      <c r="B644" s="2"/>
      <c r="C644" s="2"/>
      <c r="D644" s="4"/>
      <c r="E644" s="2"/>
      <c r="F644" s="2"/>
      <c r="G644" s="2"/>
      <c r="H644" s="77"/>
      <c r="I644" s="77"/>
      <c r="J644" s="163"/>
      <c r="K644" s="77"/>
      <c r="L644" s="164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6.5" x14ac:dyDescent="0.3">
      <c r="A645" s="2"/>
      <c r="B645" s="2"/>
      <c r="C645" s="2"/>
      <c r="D645" s="4"/>
      <c r="E645" s="2"/>
      <c r="F645" s="2"/>
      <c r="G645" s="2"/>
      <c r="H645" s="77"/>
      <c r="I645" s="77"/>
      <c r="J645" s="163"/>
      <c r="K645" s="77"/>
      <c r="L645" s="16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6.5" x14ac:dyDescent="0.3">
      <c r="A646" s="2"/>
      <c r="B646" s="2"/>
      <c r="C646" s="2"/>
      <c r="D646" s="4"/>
      <c r="E646" s="2"/>
      <c r="F646" s="2"/>
      <c r="G646" s="2"/>
      <c r="H646" s="77"/>
      <c r="I646" s="77"/>
      <c r="J646" s="163"/>
      <c r="K646" s="77"/>
      <c r="L646" s="16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6.5" x14ac:dyDescent="0.3">
      <c r="A647" s="2"/>
      <c r="B647" s="2"/>
      <c r="C647" s="2"/>
      <c r="D647" s="4"/>
      <c r="E647" s="2"/>
      <c r="F647" s="2"/>
      <c r="G647" s="2"/>
      <c r="H647" s="77"/>
      <c r="I647" s="77"/>
      <c r="J647" s="163"/>
      <c r="K647" s="77"/>
      <c r="L647" s="16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6.5" x14ac:dyDescent="0.3">
      <c r="A648" s="2"/>
      <c r="B648" s="2"/>
      <c r="C648" s="2"/>
      <c r="D648" s="4"/>
      <c r="E648" s="2"/>
      <c r="F648" s="2"/>
      <c r="G648" s="2"/>
      <c r="H648" s="77"/>
      <c r="I648" s="77"/>
      <c r="J648" s="163"/>
      <c r="K648" s="77"/>
      <c r="L648" s="16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6.5" x14ac:dyDescent="0.3">
      <c r="A649" s="2"/>
      <c r="B649" s="2"/>
      <c r="C649" s="2"/>
      <c r="D649" s="4"/>
      <c r="E649" s="2"/>
      <c r="F649" s="2"/>
      <c r="G649" s="2"/>
      <c r="H649" s="77"/>
      <c r="I649" s="77"/>
      <c r="J649" s="163"/>
      <c r="K649" s="77"/>
      <c r="L649" s="16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6.5" x14ac:dyDescent="0.3">
      <c r="A650" s="2"/>
      <c r="B650" s="2"/>
      <c r="C650" s="2"/>
      <c r="D650" s="4"/>
      <c r="E650" s="2"/>
      <c r="F650" s="2"/>
      <c r="G650" s="2"/>
      <c r="H650" s="77"/>
      <c r="I650" s="77"/>
      <c r="J650" s="163"/>
      <c r="K650" s="77"/>
      <c r="L650" s="16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6.5" x14ac:dyDescent="0.3">
      <c r="A651" s="2"/>
      <c r="B651" s="2"/>
      <c r="C651" s="2"/>
      <c r="D651" s="4"/>
      <c r="E651" s="2"/>
      <c r="F651" s="2"/>
      <c r="G651" s="2"/>
      <c r="H651" s="77"/>
      <c r="I651" s="77"/>
      <c r="J651" s="163"/>
      <c r="K651" s="77"/>
      <c r="L651" s="16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6.5" x14ac:dyDescent="0.3">
      <c r="A652" s="2"/>
      <c r="B652" s="2"/>
      <c r="C652" s="2"/>
      <c r="D652" s="4"/>
      <c r="E652" s="2"/>
      <c r="F652" s="2"/>
      <c r="G652" s="2"/>
      <c r="H652" s="77"/>
      <c r="I652" s="77"/>
      <c r="J652" s="163"/>
      <c r="K652" s="77"/>
      <c r="L652" s="16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6.5" x14ac:dyDescent="0.3">
      <c r="A653" s="2"/>
      <c r="B653" s="2"/>
      <c r="C653" s="2"/>
      <c r="D653" s="4"/>
      <c r="E653" s="2"/>
      <c r="F653" s="2"/>
      <c r="G653" s="2"/>
      <c r="H653" s="77"/>
      <c r="I653" s="77"/>
      <c r="J653" s="163"/>
      <c r="K653" s="77"/>
      <c r="L653" s="16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6.5" x14ac:dyDescent="0.3">
      <c r="A654" s="2"/>
      <c r="B654" s="2"/>
      <c r="C654" s="2"/>
      <c r="D654" s="4"/>
      <c r="E654" s="2"/>
      <c r="F654" s="2"/>
      <c r="G654" s="2"/>
      <c r="H654" s="77"/>
      <c r="I654" s="77"/>
      <c r="J654" s="163"/>
      <c r="K654" s="77"/>
      <c r="L654" s="16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6.5" x14ac:dyDescent="0.3">
      <c r="A655" s="2"/>
      <c r="B655" s="2"/>
      <c r="C655" s="2"/>
      <c r="D655" s="4"/>
      <c r="E655" s="2"/>
      <c r="F655" s="2"/>
      <c r="G655" s="2"/>
      <c r="H655" s="77"/>
      <c r="I655" s="77"/>
      <c r="J655" s="163"/>
      <c r="K655" s="77"/>
      <c r="L655" s="164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6.5" x14ac:dyDescent="0.3">
      <c r="A656" s="2"/>
      <c r="B656" s="2"/>
      <c r="C656" s="2"/>
      <c r="D656" s="4"/>
      <c r="E656" s="2"/>
      <c r="F656" s="2"/>
      <c r="G656" s="2"/>
      <c r="H656" s="77"/>
      <c r="I656" s="77"/>
      <c r="J656" s="163"/>
      <c r="K656" s="77"/>
      <c r="L656" s="16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6.5" x14ac:dyDescent="0.3">
      <c r="A657" s="2"/>
      <c r="B657" s="2"/>
      <c r="C657" s="2"/>
      <c r="D657" s="4"/>
      <c r="E657" s="2"/>
      <c r="F657" s="2"/>
      <c r="G657" s="2"/>
      <c r="H657" s="77"/>
      <c r="I657" s="77"/>
      <c r="J657" s="163"/>
      <c r="K657" s="77"/>
      <c r="L657" s="164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6.5" x14ac:dyDescent="0.3">
      <c r="A658" s="2"/>
      <c r="B658" s="2"/>
      <c r="C658" s="2"/>
      <c r="D658" s="4"/>
      <c r="E658" s="2"/>
      <c r="F658" s="2"/>
      <c r="G658" s="2"/>
      <c r="H658" s="77"/>
      <c r="I658" s="77"/>
      <c r="J658" s="163"/>
      <c r="K658" s="77"/>
      <c r="L658" s="164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6.5" x14ac:dyDescent="0.3">
      <c r="A659" s="2"/>
      <c r="B659" s="2"/>
      <c r="C659" s="2"/>
      <c r="D659" s="4"/>
      <c r="E659" s="2"/>
      <c r="F659" s="2"/>
      <c r="G659" s="2"/>
      <c r="H659" s="77"/>
      <c r="I659" s="77"/>
      <c r="J659" s="163"/>
      <c r="K659" s="77"/>
      <c r="L659" s="164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6.5" x14ac:dyDescent="0.3">
      <c r="A660" s="2"/>
      <c r="B660" s="2"/>
      <c r="C660" s="2"/>
      <c r="D660" s="4"/>
      <c r="E660" s="2"/>
      <c r="F660" s="2"/>
      <c r="G660" s="2"/>
      <c r="H660" s="77"/>
      <c r="I660" s="77"/>
      <c r="J660" s="163"/>
      <c r="K660" s="77"/>
      <c r="L660" s="164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6.5" x14ac:dyDescent="0.3">
      <c r="A661" s="2"/>
      <c r="B661" s="2"/>
      <c r="C661" s="2"/>
      <c r="D661" s="4"/>
      <c r="E661" s="2"/>
      <c r="F661" s="2"/>
      <c r="G661" s="2"/>
      <c r="H661" s="77"/>
      <c r="I661" s="77"/>
      <c r="J661" s="163"/>
      <c r="K661" s="77"/>
      <c r="L661" s="164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6.5" x14ac:dyDescent="0.3">
      <c r="A662" s="2"/>
      <c r="B662" s="2"/>
      <c r="C662" s="2"/>
      <c r="D662" s="4"/>
      <c r="E662" s="2"/>
      <c r="F662" s="2"/>
      <c r="G662" s="2"/>
      <c r="H662" s="77"/>
      <c r="I662" s="77"/>
      <c r="J662" s="163"/>
      <c r="K662" s="77"/>
      <c r="L662" s="164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6.5" x14ac:dyDescent="0.3">
      <c r="A663" s="2"/>
      <c r="B663" s="2"/>
      <c r="C663" s="2"/>
      <c r="D663" s="4"/>
      <c r="E663" s="2"/>
      <c r="F663" s="2"/>
      <c r="G663" s="2"/>
      <c r="H663" s="77"/>
      <c r="I663" s="77"/>
      <c r="J663" s="163"/>
      <c r="K663" s="77"/>
      <c r="L663" s="164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6.5" x14ac:dyDescent="0.3">
      <c r="A664" s="2"/>
      <c r="B664" s="2"/>
      <c r="C664" s="2"/>
      <c r="D664" s="4"/>
      <c r="E664" s="2"/>
      <c r="F664" s="2"/>
      <c r="G664" s="2"/>
      <c r="H664" s="77"/>
      <c r="I664" s="77"/>
      <c r="J664" s="163"/>
      <c r="K664" s="77"/>
      <c r="L664" s="164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6.5" x14ac:dyDescent="0.3">
      <c r="A665" s="2"/>
      <c r="B665" s="2"/>
      <c r="C665" s="2"/>
      <c r="D665" s="4"/>
      <c r="E665" s="2"/>
      <c r="F665" s="2"/>
      <c r="G665" s="2"/>
      <c r="H665" s="77"/>
      <c r="I665" s="77"/>
      <c r="J665" s="163"/>
      <c r="K665" s="77"/>
      <c r="L665" s="164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6.5" x14ac:dyDescent="0.3">
      <c r="A666" s="2"/>
      <c r="B666" s="2"/>
      <c r="C666" s="2"/>
      <c r="D666" s="4"/>
      <c r="E666" s="2"/>
      <c r="F666" s="2"/>
      <c r="G666" s="2"/>
      <c r="H666" s="77"/>
      <c r="I666" s="77"/>
      <c r="J666" s="163"/>
      <c r="K666" s="77"/>
      <c r="L666" s="164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6.5" x14ac:dyDescent="0.3">
      <c r="A667" s="2"/>
      <c r="B667" s="2"/>
      <c r="C667" s="2"/>
      <c r="D667" s="4"/>
      <c r="E667" s="2"/>
      <c r="F667" s="2"/>
      <c r="G667" s="2"/>
      <c r="H667" s="77"/>
      <c r="I667" s="77"/>
      <c r="J667" s="163"/>
      <c r="K667" s="77"/>
      <c r="L667" s="164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6.5" x14ac:dyDescent="0.3">
      <c r="A668" s="2"/>
      <c r="B668" s="2"/>
      <c r="C668" s="2"/>
      <c r="D668" s="4"/>
      <c r="E668" s="2"/>
      <c r="F668" s="2"/>
      <c r="G668" s="2"/>
      <c r="H668" s="77"/>
      <c r="I668" s="77"/>
      <c r="J668" s="163"/>
      <c r="K668" s="77"/>
      <c r="L668" s="164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6.5" x14ac:dyDescent="0.3">
      <c r="A669" s="2"/>
      <c r="B669" s="2"/>
      <c r="C669" s="2"/>
      <c r="D669" s="4"/>
      <c r="E669" s="2"/>
      <c r="F669" s="2"/>
      <c r="G669" s="2"/>
      <c r="H669" s="77"/>
      <c r="I669" s="77"/>
      <c r="J669" s="163"/>
      <c r="K669" s="77"/>
      <c r="L669" s="164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6.5" x14ac:dyDescent="0.3">
      <c r="A670" s="2"/>
      <c r="B670" s="2"/>
      <c r="C670" s="2"/>
      <c r="D670" s="4"/>
      <c r="E670" s="2"/>
      <c r="F670" s="2"/>
      <c r="G670" s="2"/>
      <c r="H670" s="77"/>
      <c r="I670" s="77"/>
      <c r="J670" s="163"/>
      <c r="K670" s="77"/>
      <c r="L670" s="164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6.5" x14ac:dyDescent="0.3">
      <c r="A671" s="2"/>
      <c r="B671" s="2"/>
      <c r="C671" s="2"/>
      <c r="D671" s="4"/>
      <c r="E671" s="2"/>
      <c r="F671" s="2"/>
      <c r="G671" s="2"/>
      <c r="H671" s="77"/>
      <c r="I671" s="77"/>
      <c r="J671" s="163"/>
      <c r="K671" s="77"/>
      <c r="L671" s="164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6.5" x14ac:dyDescent="0.3">
      <c r="A672" s="2"/>
      <c r="B672" s="2"/>
      <c r="C672" s="2"/>
      <c r="D672" s="4"/>
      <c r="E672" s="2"/>
      <c r="F672" s="2"/>
      <c r="G672" s="2"/>
      <c r="H672" s="77"/>
      <c r="I672" s="77"/>
      <c r="J672" s="163"/>
      <c r="K672" s="77"/>
      <c r="L672" s="164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6.5" x14ac:dyDescent="0.3">
      <c r="A673" s="2"/>
      <c r="B673" s="2"/>
      <c r="C673" s="2"/>
      <c r="D673" s="4"/>
      <c r="E673" s="2"/>
      <c r="F673" s="2"/>
      <c r="G673" s="2"/>
      <c r="H673" s="77"/>
      <c r="I673" s="77"/>
      <c r="J673" s="163"/>
      <c r="K673" s="77"/>
      <c r="L673" s="164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6.5" x14ac:dyDescent="0.3">
      <c r="A674" s="2"/>
      <c r="B674" s="2"/>
      <c r="C674" s="2"/>
      <c r="D674" s="4"/>
      <c r="E674" s="2"/>
      <c r="F674" s="2"/>
      <c r="G674" s="2"/>
      <c r="H674" s="77"/>
      <c r="I674" s="77"/>
      <c r="J674" s="163"/>
      <c r="K674" s="77"/>
      <c r="L674" s="164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6.5" x14ac:dyDescent="0.3">
      <c r="A675" s="2"/>
      <c r="B675" s="2"/>
      <c r="C675" s="2"/>
      <c r="D675" s="4"/>
      <c r="E675" s="2"/>
      <c r="F675" s="2"/>
      <c r="G675" s="2"/>
      <c r="H675" s="77"/>
      <c r="I675" s="77"/>
      <c r="J675" s="163"/>
      <c r="K675" s="77"/>
      <c r="L675" s="164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6.5" x14ac:dyDescent="0.3">
      <c r="A676" s="2"/>
      <c r="B676" s="2"/>
      <c r="C676" s="2"/>
      <c r="D676" s="4"/>
      <c r="E676" s="2"/>
      <c r="F676" s="2"/>
      <c r="G676" s="2"/>
      <c r="H676" s="77"/>
      <c r="I676" s="77"/>
      <c r="J676" s="163"/>
      <c r="K676" s="77"/>
      <c r="L676" s="164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6.5" x14ac:dyDescent="0.3">
      <c r="A677" s="2"/>
      <c r="B677" s="2"/>
      <c r="C677" s="2"/>
      <c r="D677" s="4"/>
      <c r="E677" s="2"/>
      <c r="F677" s="2"/>
      <c r="G677" s="2"/>
      <c r="H677" s="77"/>
      <c r="I677" s="77"/>
      <c r="J677" s="163"/>
      <c r="K677" s="77"/>
      <c r="L677" s="164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6.5" x14ac:dyDescent="0.3">
      <c r="A678" s="2"/>
      <c r="B678" s="2"/>
      <c r="C678" s="2"/>
      <c r="D678" s="4"/>
      <c r="E678" s="2"/>
      <c r="F678" s="2"/>
      <c r="G678" s="2"/>
      <c r="H678" s="77"/>
      <c r="I678" s="77"/>
      <c r="J678" s="163"/>
      <c r="K678" s="77"/>
      <c r="L678" s="164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6.5" x14ac:dyDescent="0.3">
      <c r="A679" s="2"/>
      <c r="B679" s="2"/>
      <c r="C679" s="2"/>
      <c r="D679" s="4"/>
      <c r="E679" s="2"/>
      <c r="F679" s="2"/>
      <c r="G679" s="2"/>
      <c r="H679" s="77"/>
      <c r="I679" s="77"/>
      <c r="J679" s="163"/>
      <c r="K679" s="77"/>
      <c r="L679" s="164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6.5" x14ac:dyDescent="0.3">
      <c r="A680" s="2"/>
      <c r="B680" s="2"/>
      <c r="C680" s="2"/>
      <c r="D680" s="4"/>
      <c r="E680" s="2"/>
      <c r="F680" s="2"/>
      <c r="G680" s="2"/>
      <c r="H680" s="77"/>
      <c r="I680" s="77"/>
      <c r="J680" s="163"/>
      <c r="K680" s="77"/>
      <c r="L680" s="164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6.5" x14ac:dyDescent="0.3">
      <c r="A681" s="2"/>
      <c r="B681" s="2"/>
      <c r="C681" s="2"/>
      <c r="D681" s="4"/>
      <c r="E681" s="2"/>
      <c r="F681" s="2"/>
      <c r="G681" s="2"/>
      <c r="H681" s="77"/>
      <c r="I681" s="77"/>
      <c r="J681" s="163"/>
      <c r="K681" s="77"/>
      <c r="L681" s="16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6.5" x14ac:dyDescent="0.3">
      <c r="A682" s="2"/>
      <c r="B682" s="2"/>
      <c r="C682" s="2"/>
      <c r="D682" s="4"/>
      <c r="E682" s="2"/>
      <c r="F682" s="2"/>
      <c r="G682" s="2"/>
      <c r="H682" s="77"/>
      <c r="I682" s="77"/>
      <c r="J682" s="163"/>
      <c r="K682" s="77"/>
      <c r="L682" s="16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6.5" x14ac:dyDescent="0.3">
      <c r="A683" s="2"/>
      <c r="B683" s="2"/>
      <c r="C683" s="2"/>
      <c r="D683" s="4"/>
      <c r="E683" s="2"/>
      <c r="F683" s="2"/>
      <c r="G683" s="2"/>
      <c r="H683" s="77"/>
      <c r="I683" s="77"/>
      <c r="J683" s="163"/>
      <c r="K683" s="77"/>
      <c r="L683" s="16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6.5" x14ac:dyDescent="0.3">
      <c r="A684" s="2"/>
      <c r="B684" s="2"/>
      <c r="C684" s="2"/>
      <c r="D684" s="4"/>
      <c r="E684" s="2"/>
      <c r="F684" s="2"/>
      <c r="G684" s="2"/>
      <c r="H684" s="77"/>
      <c r="I684" s="77"/>
      <c r="J684" s="163"/>
      <c r="K684" s="77"/>
      <c r="L684" s="16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6.5" x14ac:dyDescent="0.3">
      <c r="A685" s="2"/>
      <c r="B685" s="2"/>
      <c r="C685" s="2"/>
      <c r="D685" s="4"/>
      <c r="E685" s="2"/>
      <c r="F685" s="2"/>
      <c r="G685" s="2"/>
      <c r="H685" s="77"/>
      <c r="I685" s="77"/>
      <c r="J685" s="163"/>
      <c r="K685" s="77"/>
      <c r="L685" s="16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6.5" x14ac:dyDescent="0.3">
      <c r="A686" s="2"/>
      <c r="B686" s="2"/>
      <c r="C686" s="2"/>
      <c r="D686" s="4"/>
      <c r="E686" s="2"/>
      <c r="F686" s="2"/>
      <c r="G686" s="2"/>
      <c r="H686" s="77"/>
      <c r="I686" s="77"/>
      <c r="J686" s="163"/>
      <c r="K686" s="77"/>
      <c r="L686" s="16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6.5" x14ac:dyDescent="0.3">
      <c r="A687" s="2"/>
      <c r="B687" s="2"/>
      <c r="C687" s="2"/>
      <c r="D687" s="4"/>
      <c r="E687" s="2"/>
      <c r="F687" s="2"/>
      <c r="G687" s="2"/>
      <c r="H687" s="77"/>
      <c r="I687" s="77"/>
      <c r="J687" s="163"/>
      <c r="K687" s="77"/>
      <c r="L687" s="16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6.5" x14ac:dyDescent="0.3">
      <c r="A688" s="2"/>
      <c r="B688" s="2"/>
      <c r="C688" s="2"/>
      <c r="D688" s="4"/>
      <c r="E688" s="2"/>
      <c r="F688" s="2"/>
      <c r="G688" s="2"/>
      <c r="H688" s="77"/>
      <c r="I688" s="77"/>
      <c r="J688" s="163"/>
      <c r="K688" s="77"/>
      <c r="L688" s="16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6.5" x14ac:dyDescent="0.3">
      <c r="A689" s="2"/>
      <c r="B689" s="2"/>
      <c r="C689" s="2"/>
      <c r="D689" s="4"/>
      <c r="E689" s="2"/>
      <c r="F689" s="2"/>
      <c r="G689" s="2"/>
      <c r="H689" s="77"/>
      <c r="I689" s="77"/>
      <c r="J689" s="163"/>
      <c r="K689" s="77"/>
      <c r="L689" s="16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6.5" x14ac:dyDescent="0.3">
      <c r="A690" s="2"/>
      <c r="B690" s="2"/>
      <c r="C690" s="2"/>
      <c r="D690" s="4"/>
      <c r="E690" s="2"/>
      <c r="F690" s="2"/>
      <c r="G690" s="2"/>
      <c r="H690" s="77"/>
      <c r="I690" s="77"/>
      <c r="J690" s="163"/>
      <c r="K690" s="77"/>
      <c r="L690" s="164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6.5" x14ac:dyDescent="0.3">
      <c r="A691" s="2"/>
      <c r="B691" s="2"/>
      <c r="C691" s="2"/>
      <c r="D691" s="4"/>
      <c r="E691" s="2"/>
      <c r="F691" s="2"/>
      <c r="G691" s="2"/>
      <c r="H691" s="77"/>
      <c r="I691" s="77"/>
      <c r="J691" s="163"/>
      <c r="K691" s="77"/>
      <c r="L691" s="16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6.5" x14ac:dyDescent="0.3">
      <c r="A692" s="2"/>
      <c r="B692" s="2"/>
      <c r="C692" s="2"/>
      <c r="D692" s="4"/>
      <c r="E692" s="2"/>
      <c r="F692" s="2"/>
      <c r="G692" s="2"/>
      <c r="H692" s="77"/>
      <c r="I692" s="77"/>
      <c r="J692" s="163"/>
      <c r="K692" s="77"/>
      <c r="L692" s="164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6.5" x14ac:dyDescent="0.3">
      <c r="A693" s="2"/>
      <c r="B693" s="2"/>
      <c r="C693" s="2"/>
      <c r="D693" s="4"/>
      <c r="E693" s="2"/>
      <c r="F693" s="2"/>
      <c r="G693" s="2"/>
      <c r="H693" s="77"/>
      <c r="I693" s="77"/>
      <c r="J693" s="163"/>
      <c r="K693" s="77"/>
      <c r="L693" s="164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6.5" x14ac:dyDescent="0.3">
      <c r="A694" s="2"/>
      <c r="B694" s="2"/>
      <c r="C694" s="2"/>
      <c r="D694" s="4"/>
      <c r="E694" s="2"/>
      <c r="F694" s="2"/>
      <c r="G694" s="2"/>
      <c r="H694" s="77"/>
      <c r="I694" s="77"/>
      <c r="J694" s="163"/>
      <c r="K694" s="77"/>
      <c r="L694" s="164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6.5" x14ac:dyDescent="0.3">
      <c r="A695" s="2"/>
      <c r="B695" s="2"/>
      <c r="C695" s="2"/>
      <c r="D695" s="4"/>
      <c r="E695" s="2"/>
      <c r="F695" s="2"/>
      <c r="G695" s="2"/>
      <c r="H695" s="77"/>
      <c r="I695" s="77"/>
      <c r="J695" s="163"/>
      <c r="K695" s="77"/>
      <c r="L695" s="164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6.5" x14ac:dyDescent="0.3">
      <c r="A696" s="2"/>
      <c r="B696" s="2"/>
      <c r="C696" s="2"/>
      <c r="D696" s="4"/>
      <c r="E696" s="2"/>
      <c r="F696" s="2"/>
      <c r="G696" s="2"/>
      <c r="H696" s="77"/>
      <c r="I696" s="77"/>
      <c r="J696" s="163"/>
      <c r="K696" s="77"/>
      <c r="L696" s="164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6.5" x14ac:dyDescent="0.3">
      <c r="A697" s="2"/>
      <c r="B697" s="2"/>
      <c r="C697" s="2"/>
      <c r="D697" s="4"/>
      <c r="E697" s="2"/>
      <c r="F697" s="2"/>
      <c r="G697" s="2"/>
      <c r="H697" s="77"/>
      <c r="I697" s="77"/>
      <c r="J697" s="163"/>
      <c r="K697" s="77"/>
      <c r="L697" s="164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6.5" x14ac:dyDescent="0.3">
      <c r="A698" s="2"/>
      <c r="B698" s="2"/>
      <c r="C698" s="2"/>
      <c r="D698" s="4"/>
      <c r="E698" s="2"/>
      <c r="F698" s="2"/>
      <c r="G698" s="2"/>
      <c r="H698" s="77"/>
      <c r="I698" s="77"/>
      <c r="J698" s="163"/>
      <c r="K698" s="77"/>
      <c r="L698" s="164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6.5" x14ac:dyDescent="0.3">
      <c r="A699" s="2"/>
      <c r="B699" s="2"/>
      <c r="C699" s="2"/>
      <c r="D699" s="4"/>
      <c r="E699" s="2"/>
      <c r="F699" s="2"/>
      <c r="G699" s="2"/>
      <c r="H699" s="77"/>
      <c r="I699" s="77"/>
      <c r="J699" s="163"/>
      <c r="K699" s="77"/>
      <c r="L699" s="164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6.5" x14ac:dyDescent="0.3">
      <c r="A700" s="2"/>
      <c r="B700" s="2"/>
      <c r="C700" s="2"/>
      <c r="D700" s="4"/>
      <c r="E700" s="2"/>
      <c r="F700" s="2"/>
      <c r="G700" s="2"/>
      <c r="H700" s="77"/>
      <c r="I700" s="77"/>
      <c r="J700" s="163"/>
      <c r="K700" s="77"/>
      <c r="L700" s="164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6.5" x14ac:dyDescent="0.3">
      <c r="A701" s="2"/>
      <c r="B701" s="2"/>
      <c r="C701" s="2"/>
      <c r="D701" s="4"/>
      <c r="E701" s="2"/>
      <c r="F701" s="2"/>
      <c r="G701" s="2"/>
      <c r="H701" s="77"/>
      <c r="I701" s="77"/>
      <c r="J701" s="163"/>
      <c r="K701" s="77"/>
      <c r="L701" s="164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6.5" x14ac:dyDescent="0.3">
      <c r="A702" s="2"/>
      <c r="B702" s="2"/>
      <c r="C702" s="2"/>
      <c r="D702" s="4"/>
      <c r="E702" s="2"/>
      <c r="F702" s="2"/>
      <c r="G702" s="2"/>
      <c r="H702" s="77"/>
      <c r="I702" s="77"/>
      <c r="J702" s="163"/>
      <c r="K702" s="77"/>
      <c r="L702" s="164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6.5" x14ac:dyDescent="0.3">
      <c r="A703" s="2"/>
      <c r="B703" s="2"/>
      <c r="C703" s="2"/>
      <c r="D703" s="4"/>
      <c r="E703" s="2"/>
      <c r="F703" s="2"/>
      <c r="G703" s="2"/>
      <c r="H703" s="77"/>
      <c r="I703" s="77"/>
      <c r="J703" s="163"/>
      <c r="K703" s="77"/>
      <c r="L703" s="164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6.5" x14ac:dyDescent="0.3">
      <c r="A704" s="2"/>
      <c r="B704" s="2"/>
      <c r="C704" s="2"/>
      <c r="D704" s="4"/>
      <c r="E704" s="2"/>
      <c r="F704" s="2"/>
      <c r="G704" s="2"/>
      <c r="H704" s="77"/>
      <c r="I704" s="77"/>
      <c r="J704" s="163"/>
      <c r="K704" s="77"/>
      <c r="L704" s="164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6.5" x14ac:dyDescent="0.3">
      <c r="A705" s="2"/>
      <c r="B705" s="2"/>
      <c r="C705" s="2"/>
      <c r="D705" s="4"/>
      <c r="E705" s="2"/>
      <c r="F705" s="2"/>
      <c r="G705" s="2"/>
      <c r="H705" s="77"/>
      <c r="I705" s="77"/>
      <c r="J705" s="163"/>
      <c r="K705" s="77"/>
      <c r="L705" s="164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6.5" x14ac:dyDescent="0.3">
      <c r="A706" s="2"/>
      <c r="B706" s="2"/>
      <c r="C706" s="2"/>
      <c r="D706" s="4"/>
      <c r="E706" s="2"/>
      <c r="F706" s="2"/>
      <c r="G706" s="2"/>
      <c r="H706" s="77"/>
      <c r="I706" s="77"/>
      <c r="J706" s="163"/>
      <c r="K706" s="77"/>
      <c r="L706" s="164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6.5" x14ac:dyDescent="0.3">
      <c r="A707" s="2"/>
      <c r="B707" s="2"/>
      <c r="C707" s="2"/>
      <c r="D707" s="4"/>
      <c r="E707" s="2"/>
      <c r="F707" s="2"/>
      <c r="G707" s="2"/>
      <c r="H707" s="77"/>
      <c r="I707" s="77"/>
      <c r="J707" s="163"/>
      <c r="K707" s="77"/>
      <c r="L707" s="164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6.5" x14ac:dyDescent="0.3">
      <c r="A708" s="2"/>
      <c r="B708" s="2"/>
      <c r="C708" s="2"/>
      <c r="D708" s="4"/>
      <c r="E708" s="2"/>
      <c r="F708" s="2"/>
      <c r="G708" s="2"/>
      <c r="H708" s="77"/>
      <c r="I708" s="77"/>
      <c r="J708" s="163"/>
      <c r="K708" s="77"/>
      <c r="L708" s="164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6.5" x14ac:dyDescent="0.3">
      <c r="A709" s="2"/>
      <c r="B709" s="2"/>
      <c r="C709" s="2"/>
      <c r="D709" s="4"/>
      <c r="E709" s="2"/>
      <c r="F709" s="2"/>
      <c r="G709" s="2"/>
      <c r="H709" s="77"/>
      <c r="I709" s="77"/>
      <c r="J709" s="163"/>
      <c r="K709" s="77"/>
      <c r="L709" s="164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6.5" x14ac:dyDescent="0.3">
      <c r="A710" s="2"/>
      <c r="B710" s="2"/>
      <c r="C710" s="2"/>
      <c r="D710" s="4"/>
      <c r="E710" s="2"/>
      <c r="F710" s="2"/>
      <c r="G710" s="2"/>
      <c r="H710" s="77"/>
      <c r="I710" s="77"/>
      <c r="J710" s="163"/>
      <c r="K710" s="77"/>
      <c r="L710" s="164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6.5" x14ac:dyDescent="0.3">
      <c r="A711" s="2"/>
      <c r="B711" s="2"/>
      <c r="C711" s="2"/>
      <c r="D711" s="4"/>
      <c r="E711" s="2"/>
      <c r="F711" s="2"/>
      <c r="G711" s="2"/>
      <c r="H711" s="77"/>
      <c r="I711" s="77"/>
      <c r="J711" s="163"/>
      <c r="K711" s="77"/>
      <c r="L711" s="164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6.5" x14ac:dyDescent="0.3">
      <c r="A712" s="2"/>
      <c r="B712" s="2"/>
      <c r="C712" s="2"/>
      <c r="D712" s="4"/>
      <c r="E712" s="2"/>
      <c r="F712" s="2"/>
      <c r="G712" s="2"/>
      <c r="H712" s="77"/>
      <c r="I712" s="77"/>
      <c r="J712" s="163"/>
      <c r="K712" s="77"/>
      <c r="L712" s="164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6.5" x14ac:dyDescent="0.3">
      <c r="A713" s="2"/>
      <c r="B713" s="2"/>
      <c r="C713" s="2"/>
      <c r="D713" s="4"/>
      <c r="E713" s="2"/>
      <c r="F713" s="2"/>
      <c r="G713" s="2"/>
      <c r="H713" s="77"/>
      <c r="I713" s="77"/>
      <c r="J713" s="163"/>
      <c r="K713" s="77"/>
      <c r="L713" s="164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6.5" x14ac:dyDescent="0.3">
      <c r="A714" s="2"/>
      <c r="B714" s="2"/>
      <c r="C714" s="2"/>
      <c r="D714" s="4"/>
      <c r="E714" s="2"/>
      <c r="F714" s="2"/>
      <c r="G714" s="2"/>
      <c r="H714" s="77"/>
      <c r="I714" s="77"/>
      <c r="J714" s="163"/>
      <c r="K714" s="77"/>
      <c r="L714" s="164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6.5" x14ac:dyDescent="0.3">
      <c r="A715" s="2"/>
      <c r="B715" s="2"/>
      <c r="C715" s="2"/>
      <c r="D715" s="4"/>
      <c r="E715" s="2"/>
      <c r="F715" s="2"/>
      <c r="G715" s="2"/>
      <c r="H715" s="77"/>
      <c r="I715" s="77"/>
      <c r="J715" s="163"/>
      <c r="K715" s="77"/>
      <c r="L715" s="16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6.5" x14ac:dyDescent="0.3">
      <c r="A716" s="2"/>
      <c r="B716" s="2"/>
      <c r="C716" s="2"/>
      <c r="D716" s="4"/>
      <c r="E716" s="2"/>
      <c r="F716" s="2"/>
      <c r="G716" s="2"/>
      <c r="H716" s="77"/>
      <c r="I716" s="77"/>
      <c r="J716" s="163"/>
      <c r="K716" s="77"/>
      <c r="L716" s="16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6.5" x14ac:dyDescent="0.3">
      <c r="A717" s="2"/>
      <c r="B717" s="2"/>
      <c r="C717" s="2"/>
      <c r="D717" s="4"/>
      <c r="E717" s="2"/>
      <c r="F717" s="2"/>
      <c r="G717" s="2"/>
      <c r="H717" s="77"/>
      <c r="I717" s="77"/>
      <c r="J717" s="163"/>
      <c r="K717" s="77"/>
      <c r="L717" s="16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6.5" x14ac:dyDescent="0.3">
      <c r="A718" s="2"/>
      <c r="B718" s="2"/>
      <c r="C718" s="2"/>
      <c r="D718" s="4"/>
      <c r="E718" s="2"/>
      <c r="F718" s="2"/>
      <c r="G718" s="2"/>
      <c r="H718" s="77"/>
      <c r="I718" s="77"/>
      <c r="J718" s="163"/>
      <c r="K718" s="77"/>
      <c r="L718" s="16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6.5" x14ac:dyDescent="0.3">
      <c r="A719" s="2"/>
      <c r="B719" s="2"/>
      <c r="C719" s="2"/>
      <c r="D719" s="4"/>
      <c r="E719" s="2"/>
      <c r="F719" s="2"/>
      <c r="G719" s="2"/>
      <c r="H719" s="77"/>
      <c r="I719" s="77"/>
      <c r="J719" s="163"/>
      <c r="K719" s="77"/>
      <c r="L719" s="16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6.5" x14ac:dyDescent="0.3">
      <c r="A720" s="2"/>
      <c r="B720" s="2"/>
      <c r="C720" s="2"/>
      <c r="D720" s="4"/>
      <c r="E720" s="2"/>
      <c r="F720" s="2"/>
      <c r="G720" s="2"/>
      <c r="H720" s="77"/>
      <c r="I720" s="77"/>
      <c r="J720" s="163"/>
      <c r="K720" s="77"/>
      <c r="L720" s="16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6.5" x14ac:dyDescent="0.3">
      <c r="A721" s="2"/>
      <c r="B721" s="2"/>
      <c r="C721" s="2"/>
      <c r="D721" s="4"/>
      <c r="E721" s="2"/>
      <c r="F721" s="2"/>
      <c r="G721" s="2"/>
      <c r="H721" s="77"/>
      <c r="I721" s="77"/>
      <c r="J721" s="163"/>
      <c r="K721" s="77"/>
      <c r="L721" s="16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6.5" x14ac:dyDescent="0.3">
      <c r="A722" s="2"/>
      <c r="B722" s="2"/>
      <c r="C722" s="2"/>
      <c r="D722" s="4"/>
      <c r="E722" s="2"/>
      <c r="F722" s="2"/>
      <c r="G722" s="2"/>
      <c r="H722" s="77"/>
      <c r="I722" s="77"/>
      <c r="J722" s="163"/>
      <c r="K722" s="77"/>
      <c r="L722" s="16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6.5" x14ac:dyDescent="0.3">
      <c r="A723" s="2"/>
      <c r="B723" s="2"/>
      <c r="C723" s="2"/>
      <c r="D723" s="4"/>
      <c r="E723" s="2"/>
      <c r="F723" s="2"/>
      <c r="G723" s="2"/>
      <c r="H723" s="77"/>
      <c r="I723" s="77"/>
      <c r="J723" s="163"/>
      <c r="K723" s="77"/>
      <c r="L723" s="16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6.5" x14ac:dyDescent="0.3">
      <c r="A724" s="2"/>
      <c r="B724" s="2"/>
      <c r="C724" s="2"/>
      <c r="D724" s="4"/>
      <c r="E724" s="2"/>
      <c r="F724" s="2"/>
      <c r="G724" s="2"/>
      <c r="H724" s="77"/>
      <c r="I724" s="77"/>
      <c r="J724" s="163"/>
      <c r="K724" s="77"/>
      <c r="L724" s="16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6.5" x14ac:dyDescent="0.3">
      <c r="A725" s="2"/>
      <c r="B725" s="2"/>
      <c r="C725" s="2"/>
      <c r="D725" s="4"/>
      <c r="E725" s="2"/>
      <c r="F725" s="2"/>
      <c r="G725" s="2"/>
      <c r="H725" s="77"/>
      <c r="I725" s="77"/>
      <c r="J725" s="163"/>
      <c r="K725" s="77"/>
      <c r="L725" s="16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6.5" x14ac:dyDescent="0.3">
      <c r="A726" s="2"/>
      <c r="B726" s="2"/>
      <c r="C726" s="2"/>
      <c r="D726" s="4"/>
      <c r="E726" s="2"/>
      <c r="F726" s="2"/>
      <c r="G726" s="2"/>
      <c r="H726" s="77"/>
      <c r="I726" s="77"/>
      <c r="J726" s="163"/>
      <c r="K726" s="77"/>
      <c r="L726" s="16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6.5" x14ac:dyDescent="0.3">
      <c r="A727" s="2"/>
      <c r="B727" s="2"/>
      <c r="C727" s="2"/>
      <c r="D727" s="4"/>
      <c r="E727" s="2"/>
      <c r="F727" s="2"/>
      <c r="G727" s="2"/>
      <c r="H727" s="77"/>
      <c r="I727" s="77"/>
      <c r="J727" s="163"/>
      <c r="K727" s="77"/>
      <c r="L727" s="16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6.5" x14ac:dyDescent="0.3">
      <c r="A728" s="2"/>
      <c r="B728" s="2"/>
      <c r="C728" s="2"/>
      <c r="D728" s="4"/>
      <c r="E728" s="2"/>
      <c r="F728" s="2"/>
      <c r="G728" s="2"/>
      <c r="H728" s="77"/>
      <c r="I728" s="77"/>
      <c r="J728" s="163"/>
      <c r="K728" s="77"/>
      <c r="L728" s="16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6.5" x14ac:dyDescent="0.3">
      <c r="A729" s="2"/>
      <c r="B729" s="2"/>
      <c r="C729" s="2"/>
      <c r="D729" s="4"/>
      <c r="E729" s="2"/>
      <c r="F729" s="2"/>
      <c r="G729" s="2"/>
      <c r="H729" s="77"/>
      <c r="I729" s="77"/>
      <c r="J729" s="163"/>
      <c r="K729" s="77"/>
      <c r="L729" s="16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6.5" x14ac:dyDescent="0.3">
      <c r="A730" s="2"/>
      <c r="B730" s="2"/>
      <c r="C730" s="2"/>
      <c r="D730" s="4"/>
      <c r="E730" s="2"/>
      <c r="F730" s="2"/>
      <c r="G730" s="2"/>
      <c r="H730" s="77"/>
      <c r="I730" s="77"/>
      <c r="J730" s="163"/>
      <c r="K730" s="77"/>
      <c r="L730" s="16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6.5" x14ac:dyDescent="0.3">
      <c r="A731" s="2"/>
      <c r="B731" s="2"/>
      <c r="C731" s="2"/>
      <c r="D731" s="4"/>
      <c r="E731" s="2"/>
      <c r="F731" s="2"/>
      <c r="G731" s="2"/>
      <c r="H731" s="77"/>
      <c r="I731" s="77"/>
      <c r="J731" s="163"/>
      <c r="K731" s="77"/>
      <c r="L731" s="16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6.5" x14ac:dyDescent="0.3">
      <c r="A732" s="2"/>
      <c r="B732" s="2"/>
      <c r="C732" s="2"/>
      <c r="D732" s="4"/>
      <c r="E732" s="2"/>
      <c r="F732" s="2"/>
      <c r="G732" s="2"/>
      <c r="H732" s="77"/>
      <c r="I732" s="77"/>
      <c r="J732" s="163"/>
      <c r="K732" s="77"/>
      <c r="L732" s="16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6.5" x14ac:dyDescent="0.3">
      <c r="A733" s="2"/>
      <c r="B733" s="2"/>
      <c r="C733" s="2"/>
      <c r="D733" s="4"/>
      <c r="E733" s="2"/>
      <c r="F733" s="2"/>
      <c r="G733" s="2"/>
      <c r="H733" s="77"/>
      <c r="I733" s="77"/>
      <c r="J733" s="163"/>
      <c r="K733" s="77"/>
      <c r="L733" s="16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6.5" x14ac:dyDescent="0.3">
      <c r="A734" s="2"/>
      <c r="B734" s="2"/>
      <c r="C734" s="2"/>
      <c r="D734" s="4"/>
      <c r="E734" s="2"/>
      <c r="F734" s="2"/>
      <c r="G734" s="2"/>
      <c r="H734" s="77"/>
      <c r="I734" s="77"/>
      <c r="J734" s="163"/>
      <c r="K734" s="77"/>
      <c r="L734" s="16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6.5" x14ac:dyDescent="0.3">
      <c r="A735" s="2"/>
      <c r="B735" s="2"/>
      <c r="C735" s="2"/>
      <c r="D735" s="4"/>
      <c r="E735" s="2"/>
      <c r="F735" s="2"/>
      <c r="G735" s="2"/>
      <c r="H735" s="77"/>
      <c r="I735" s="77"/>
      <c r="J735" s="163"/>
      <c r="K735" s="77"/>
      <c r="L735" s="16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6.5" x14ac:dyDescent="0.3">
      <c r="A736" s="2"/>
      <c r="B736" s="2"/>
      <c r="C736" s="2"/>
      <c r="D736" s="4"/>
      <c r="E736" s="2"/>
      <c r="F736" s="2"/>
      <c r="G736" s="2"/>
      <c r="H736" s="77"/>
      <c r="I736" s="77"/>
      <c r="J736" s="163"/>
      <c r="K736" s="77"/>
      <c r="L736" s="16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6.5" x14ac:dyDescent="0.3">
      <c r="A737" s="2"/>
      <c r="B737" s="2"/>
      <c r="C737" s="2"/>
      <c r="D737" s="4"/>
      <c r="E737" s="2"/>
      <c r="F737" s="2"/>
      <c r="G737" s="2"/>
      <c r="H737" s="77"/>
      <c r="I737" s="77"/>
      <c r="J737" s="163"/>
      <c r="K737" s="77"/>
      <c r="L737" s="16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6.5" x14ac:dyDescent="0.3">
      <c r="A738" s="2"/>
      <c r="B738" s="2"/>
      <c r="C738" s="2"/>
      <c r="D738" s="4"/>
      <c r="E738" s="2"/>
      <c r="F738" s="2"/>
      <c r="G738" s="2"/>
      <c r="H738" s="77"/>
      <c r="I738" s="77"/>
      <c r="J738" s="163"/>
      <c r="K738" s="77"/>
      <c r="L738" s="164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6.5" x14ac:dyDescent="0.3">
      <c r="A739" s="2"/>
      <c r="B739" s="2"/>
      <c r="C739" s="2"/>
      <c r="D739" s="4"/>
      <c r="E739" s="2"/>
      <c r="F739" s="2"/>
      <c r="G739" s="2"/>
      <c r="H739" s="77"/>
      <c r="I739" s="77"/>
      <c r="J739" s="163"/>
      <c r="K739" s="77"/>
      <c r="L739" s="164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</sheetData>
  <mergeCells count="407">
    <mergeCell ref="A269:M269"/>
    <mergeCell ref="A270:B270"/>
    <mergeCell ref="C270:M270"/>
    <mergeCell ref="A272:A273"/>
    <mergeCell ref="B272:B273"/>
    <mergeCell ref="C272:C273"/>
    <mergeCell ref="D272:D273"/>
    <mergeCell ref="E272:E273"/>
    <mergeCell ref="F272:I272"/>
    <mergeCell ref="J272:J273"/>
    <mergeCell ref="K272:K273"/>
    <mergeCell ref="L272:L273"/>
    <mergeCell ref="M272:M273"/>
    <mergeCell ref="A2:M2"/>
    <mergeCell ref="A3:B3"/>
    <mergeCell ref="C3:M3"/>
    <mergeCell ref="F5:I5"/>
    <mergeCell ref="A10:M10"/>
    <mergeCell ref="A11:B11"/>
    <mergeCell ref="C11:M11"/>
    <mergeCell ref="F13:I13"/>
    <mergeCell ref="A19:M19"/>
    <mergeCell ref="A5:A6"/>
    <mergeCell ref="A13:A14"/>
    <mergeCell ref="B5:B6"/>
    <mergeCell ref="B13:B14"/>
    <mergeCell ref="C5:C6"/>
    <mergeCell ref="C13:C14"/>
    <mergeCell ref="D5:D6"/>
    <mergeCell ref="D13:D14"/>
    <mergeCell ref="E5:E6"/>
    <mergeCell ref="E13:E14"/>
    <mergeCell ref="J5:J6"/>
    <mergeCell ref="J13:J14"/>
    <mergeCell ref="A20:B20"/>
    <mergeCell ref="C20:M20"/>
    <mergeCell ref="F22:I22"/>
    <mergeCell ref="A28:M28"/>
    <mergeCell ref="A29:B29"/>
    <mergeCell ref="C29:M29"/>
    <mergeCell ref="F31:I31"/>
    <mergeCell ref="B36:N36"/>
    <mergeCell ref="A37:M37"/>
    <mergeCell ref="A22:A23"/>
    <mergeCell ref="A31:A32"/>
    <mergeCell ref="B22:B23"/>
    <mergeCell ref="B31:B32"/>
    <mergeCell ref="C22:C23"/>
    <mergeCell ref="C31:C32"/>
    <mergeCell ref="D22:D23"/>
    <mergeCell ref="D31:D32"/>
    <mergeCell ref="E22:E23"/>
    <mergeCell ref="E31:E32"/>
    <mergeCell ref="J22:J23"/>
    <mergeCell ref="J31:J32"/>
    <mergeCell ref="A38:B38"/>
    <mergeCell ref="C38:M38"/>
    <mergeCell ref="F40:I40"/>
    <mergeCell ref="B45:N45"/>
    <mergeCell ref="A46:M46"/>
    <mergeCell ref="A47:B47"/>
    <mergeCell ref="C47:M47"/>
    <mergeCell ref="F49:I49"/>
    <mergeCell ref="B54:N54"/>
    <mergeCell ref="A40:A41"/>
    <mergeCell ref="A49:A50"/>
    <mergeCell ref="B40:B41"/>
    <mergeCell ref="B49:B50"/>
    <mergeCell ref="C40:C41"/>
    <mergeCell ref="C49:C50"/>
    <mergeCell ref="D40:D41"/>
    <mergeCell ref="D49:D50"/>
    <mergeCell ref="E40:E41"/>
    <mergeCell ref="E49:E50"/>
    <mergeCell ref="J40:J41"/>
    <mergeCell ref="J49:J50"/>
    <mergeCell ref="D79:D80"/>
    <mergeCell ref="E79:E80"/>
    <mergeCell ref="J79:J80"/>
    <mergeCell ref="A56:M56"/>
    <mergeCell ref="A57:B57"/>
    <mergeCell ref="C57:M57"/>
    <mergeCell ref="F59:I59"/>
    <mergeCell ref="B64:N64"/>
    <mergeCell ref="A66:M66"/>
    <mergeCell ref="A67:B67"/>
    <mergeCell ref="C67:M67"/>
    <mergeCell ref="F69:I69"/>
    <mergeCell ref="A59:A60"/>
    <mergeCell ref="A69:A70"/>
    <mergeCell ref="B59:B60"/>
    <mergeCell ref="B69:B70"/>
    <mergeCell ref="C59:C60"/>
    <mergeCell ref="C69:C70"/>
    <mergeCell ref="D59:D60"/>
    <mergeCell ref="D69:D70"/>
    <mergeCell ref="E59:E60"/>
    <mergeCell ref="E69:E70"/>
    <mergeCell ref="J59:J60"/>
    <mergeCell ref="J69:J70"/>
    <mergeCell ref="F89:I89"/>
    <mergeCell ref="B94:N94"/>
    <mergeCell ref="A96:M96"/>
    <mergeCell ref="A97:B97"/>
    <mergeCell ref="C97:M97"/>
    <mergeCell ref="F99:I99"/>
    <mergeCell ref="B104:N104"/>
    <mergeCell ref="A106:M106"/>
    <mergeCell ref="A107:B107"/>
    <mergeCell ref="C107:M107"/>
    <mergeCell ref="A89:A90"/>
    <mergeCell ref="A99:A100"/>
    <mergeCell ref="B89:B90"/>
    <mergeCell ref="B99:B100"/>
    <mergeCell ref="C89:C90"/>
    <mergeCell ref="C99:C100"/>
    <mergeCell ref="D89:D90"/>
    <mergeCell ref="D99:D100"/>
    <mergeCell ref="E89:E90"/>
    <mergeCell ref="E99:E100"/>
    <mergeCell ref="J89:J90"/>
    <mergeCell ref="J99:J100"/>
    <mergeCell ref="J139:J140"/>
    <mergeCell ref="F109:I109"/>
    <mergeCell ref="B114:N114"/>
    <mergeCell ref="A116:M116"/>
    <mergeCell ref="A117:B117"/>
    <mergeCell ref="C117:M117"/>
    <mergeCell ref="F119:I119"/>
    <mergeCell ref="B124:N124"/>
    <mergeCell ref="A126:M126"/>
    <mergeCell ref="A127:B127"/>
    <mergeCell ref="C127:M127"/>
    <mergeCell ref="A109:A110"/>
    <mergeCell ref="A119:A120"/>
    <mergeCell ref="B109:B110"/>
    <mergeCell ref="B119:B120"/>
    <mergeCell ref="C109:C110"/>
    <mergeCell ref="C119:C120"/>
    <mergeCell ref="D109:D110"/>
    <mergeCell ref="D119:D120"/>
    <mergeCell ref="E109:E110"/>
    <mergeCell ref="E119:E120"/>
    <mergeCell ref="J109:J110"/>
    <mergeCell ref="J119:J120"/>
    <mergeCell ref="J149:J150"/>
    <mergeCell ref="J159:J160"/>
    <mergeCell ref="M159:M160"/>
    <mergeCell ref="F129:I129"/>
    <mergeCell ref="B134:N134"/>
    <mergeCell ref="A136:M136"/>
    <mergeCell ref="A137:B137"/>
    <mergeCell ref="C137:M137"/>
    <mergeCell ref="F139:I139"/>
    <mergeCell ref="B144:N144"/>
    <mergeCell ref="A146:M146"/>
    <mergeCell ref="A147:B147"/>
    <mergeCell ref="C147:M147"/>
    <mergeCell ref="A129:A130"/>
    <mergeCell ref="A139:A140"/>
    <mergeCell ref="B129:B130"/>
    <mergeCell ref="B139:B140"/>
    <mergeCell ref="C129:C130"/>
    <mergeCell ref="C139:C140"/>
    <mergeCell ref="D129:D130"/>
    <mergeCell ref="D139:D140"/>
    <mergeCell ref="E129:E130"/>
    <mergeCell ref="E139:E140"/>
    <mergeCell ref="J129:J130"/>
    <mergeCell ref="J169:J170"/>
    <mergeCell ref="J179:J180"/>
    <mergeCell ref="M169:M170"/>
    <mergeCell ref="M179:M180"/>
    <mergeCell ref="F149:I149"/>
    <mergeCell ref="B154:N154"/>
    <mergeCell ref="A156:M156"/>
    <mergeCell ref="A157:B157"/>
    <mergeCell ref="C157:M157"/>
    <mergeCell ref="F159:I159"/>
    <mergeCell ref="B164:N164"/>
    <mergeCell ref="A166:M166"/>
    <mergeCell ref="A167:B167"/>
    <mergeCell ref="C167:M167"/>
    <mergeCell ref="A149:A150"/>
    <mergeCell ref="A159:A160"/>
    <mergeCell ref="B149:B150"/>
    <mergeCell ref="B159:B160"/>
    <mergeCell ref="C149:C150"/>
    <mergeCell ref="C159:C160"/>
    <mergeCell ref="D149:D150"/>
    <mergeCell ref="D159:D160"/>
    <mergeCell ref="E149:E150"/>
    <mergeCell ref="E159:E160"/>
    <mergeCell ref="D198:D199"/>
    <mergeCell ref="D206:D207"/>
    <mergeCell ref="E188:E189"/>
    <mergeCell ref="E198:E199"/>
    <mergeCell ref="E206:E207"/>
    <mergeCell ref="F169:I169"/>
    <mergeCell ref="B174:N174"/>
    <mergeCell ref="A176:M176"/>
    <mergeCell ref="A177:B177"/>
    <mergeCell ref="C177:M177"/>
    <mergeCell ref="F179:I179"/>
    <mergeCell ref="A185:M185"/>
    <mergeCell ref="A186:B186"/>
    <mergeCell ref="C186:M186"/>
    <mergeCell ref="A169:A170"/>
    <mergeCell ref="A179:A180"/>
    <mergeCell ref="B169:B170"/>
    <mergeCell ref="B179:B180"/>
    <mergeCell ref="C169:C170"/>
    <mergeCell ref="C179:C180"/>
    <mergeCell ref="D169:D170"/>
    <mergeCell ref="D179:D180"/>
    <mergeCell ref="E169:E170"/>
    <mergeCell ref="E179:E180"/>
    <mergeCell ref="D215:D216"/>
    <mergeCell ref="D223:D224"/>
    <mergeCell ref="E215:E216"/>
    <mergeCell ref="E223:E224"/>
    <mergeCell ref="K223:K224"/>
    <mergeCell ref="F188:I188"/>
    <mergeCell ref="A195:M195"/>
    <mergeCell ref="A196:B196"/>
    <mergeCell ref="C196:M196"/>
    <mergeCell ref="F198:I198"/>
    <mergeCell ref="A203:M203"/>
    <mergeCell ref="A204:B204"/>
    <mergeCell ref="C204:M204"/>
    <mergeCell ref="F206:I206"/>
    <mergeCell ref="A188:A189"/>
    <mergeCell ref="A198:A199"/>
    <mergeCell ref="A206:A207"/>
    <mergeCell ref="B188:B189"/>
    <mergeCell ref="B198:B199"/>
    <mergeCell ref="B206:B207"/>
    <mergeCell ref="C188:C189"/>
    <mergeCell ref="C198:C199"/>
    <mergeCell ref="C206:C207"/>
    <mergeCell ref="D188:D189"/>
    <mergeCell ref="A229:B229"/>
    <mergeCell ref="C229:M229"/>
    <mergeCell ref="F231:I231"/>
    <mergeCell ref="A236:M236"/>
    <mergeCell ref="A237:B237"/>
    <mergeCell ref="C237:M237"/>
    <mergeCell ref="F239:I239"/>
    <mergeCell ref="A244:M244"/>
    <mergeCell ref="A245:B245"/>
    <mergeCell ref="C245:M245"/>
    <mergeCell ref="A231:A232"/>
    <mergeCell ref="A239:A240"/>
    <mergeCell ref="B231:B232"/>
    <mergeCell ref="B239:B240"/>
    <mergeCell ref="C231:C232"/>
    <mergeCell ref="C239:C240"/>
    <mergeCell ref="D231:D232"/>
    <mergeCell ref="D239:D240"/>
    <mergeCell ref="E231:E232"/>
    <mergeCell ref="E239:E240"/>
    <mergeCell ref="K231:K232"/>
    <mergeCell ref="K239:K240"/>
    <mergeCell ref="F247:I247"/>
    <mergeCell ref="A252:M252"/>
    <mergeCell ref="A253:B253"/>
    <mergeCell ref="C253:M253"/>
    <mergeCell ref="F255:I255"/>
    <mergeCell ref="A260:M260"/>
    <mergeCell ref="A261:B261"/>
    <mergeCell ref="C261:M261"/>
    <mergeCell ref="F263:I263"/>
    <mergeCell ref="A247:A248"/>
    <mergeCell ref="A255:A256"/>
    <mergeCell ref="A263:A264"/>
    <mergeCell ref="B247:B248"/>
    <mergeCell ref="B255:B256"/>
    <mergeCell ref="B263:B264"/>
    <mergeCell ref="C247:C248"/>
    <mergeCell ref="C255:C256"/>
    <mergeCell ref="C263:C264"/>
    <mergeCell ref="D247:D248"/>
    <mergeCell ref="D255:D256"/>
    <mergeCell ref="D263:D264"/>
    <mergeCell ref="E247:E248"/>
    <mergeCell ref="E255:E256"/>
    <mergeCell ref="E263:E264"/>
    <mergeCell ref="J188:J189"/>
    <mergeCell ref="J198:J199"/>
    <mergeCell ref="J206:J207"/>
    <mergeCell ref="J215:J216"/>
    <mergeCell ref="J223:J224"/>
    <mergeCell ref="J231:J232"/>
    <mergeCell ref="J239:J240"/>
    <mergeCell ref="J247:J248"/>
    <mergeCell ref="J255:J256"/>
    <mergeCell ref="A212:M212"/>
    <mergeCell ref="A213:B213"/>
    <mergeCell ref="C213:M213"/>
    <mergeCell ref="F215:I215"/>
    <mergeCell ref="A220:M220"/>
    <mergeCell ref="A221:B221"/>
    <mergeCell ref="C221:M221"/>
    <mergeCell ref="F223:I223"/>
    <mergeCell ref="A228:M228"/>
    <mergeCell ref="A215:A216"/>
    <mergeCell ref="A223:A224"/>
    <mergeCell ref="B215:B216"/>
    <mergeCell ref="B223:B224"/>
    <mergeCell ref="C215:C216"/>
    <mergeCell ref="C223:C224"/>
    <mergeCell ref="J263:J264"/>
    <mergeCell ref="K5:K6"/>
    <mergeCell ref="K13:K14"/>
    <mergeCell ref="K22:K23"/>
    <mergeCell ref="K31:K32"/>
    <mergeCell ref="K40:K41"/>
    <mergeCell ref="K49:K50"/>
    <mergeCell ref="K59:K60"/>
    <mergeCell ref="K69:K70"/>
    <mergeCell ref="K79:K80"/>
    <mergeCell ref="K89:K90"/>
    <mergeCell ref="K99:K100"/>
    <mergeCell ref="K109:K110"/>
    <mergeCell ref="K119:K120"/>
    <mergeCell ref="K129:K130"/>
    <mergeCell ref="K139:K140"/>
    <mergeCell ref="K149:K150"/>
    <mergeCell ref="K159:K160"/>
    <mergeCell ref="K169:K170"/>
    <mergeCell ref="K179:K180"/>
    <mergeCell ref="K188:K189"/>
    <mergeCell ref="K198:K199"/>
    <mergeCell ref="K206:K207"/>
    <mergeCell ref="K215:K216"/>
    <mergeCell ref="K247:K248"/>
    <mergeCell ref="K255:K256"/>
    <mergeCell ref="K263:K264"/>
    <mergeCell ref="L5:L6"/>
    <mergeCell ref="L13:L14"/>
    <mergeCell ref="L22:L23"/>
    <mergeCell ref="L31:L32"/>
    <mergeCell ref="L40:L41"/>
    <mergeCell ref="L49:L50"/>
    <mergeCell ref="L59:L60"/>
    <mergeCell ref="L69:L70"/>
    <mergeCell ref="L79:L80"/>
    <mergeCell ref="L89:L90"/>
    <mergeCell ref="L99:L100"/>
    <mergeCell ref="L109:L110"/>
    <mergeCell ref="L119:L120"/>
    <mergeCell ref="L129:L130"/>
    <mergeCell ref="L139:L140"/>
    <mergeCell ref="L149:L150"/>
    <mergeCell ref="L159:L160"/>
    <mergeCell ref="L169:L170"/>
    <mergeCell ref="L179:L180"/>
    <mergeCell ref="L188:L189"/>
    <mergeCell ref="L198:L199"/>
    <mergeCell ref="L206:L207"/>
    <mergeCell ref="L215:L216"/>
    <mergeCell ref="L223:L224"/>
    <mergeCell ref="L231:L232"/>
    <mergeCell ref="L239:L240"/>
    <mergeCell ref="L247:L248"/>
    <mergeCell ref="L255:L256"/>
    <mergeCell ref="L263:L264"/>
    <mergeCell ref="M5:M6"/>
    <mergeCell ref="M13:M14"/>
    <mergeCell ref="M22:M23"/>
    <mergeCell ref="M31:M32"/>
    <mergeCell ref="M40:M41"/>
    <mergeCell ref="M49:M50"/>
    <mergeCell ref="M59:M60"/>
    <mergeCell ref="M69:M70"/>
    <mergeCell ref="M79:M80"/>
    <mergeCell ref="M89:M90"/>
    <mergeCell ref="M99:M100"/>
    <mergeCell ref="M109:M110"/>
    <mergeCell ref="M119:M120"/>
    <mergeCell ref="M129:M130"/>
    <mergeCell ref="M139:M140"/>
    <mergeCell ref="M149:M150"/>
    <mergeCell ref="M263:M264"/>
    <mergeCell ref="O2:O9"/>
    <mergeCell ref="O10:O17"/>
    <mergeCell ref="M188:M189"/>
    <mergeCell ref="M198:M199"/>
    <mergeCell ref="M206:M207"/>
    <mergeCell ref="M215:M216"/>
    <mergeCell ref="M223:M224"/>
    <mergeCell ref="M231:M232"/>
    <mergeCell ref="M239:M240"/>
    <mergeCell ref="M247:M248"/>
    <mergeCell ref="M255:M256"/>
    <mergeCell ref="B74:N74"/>
    <mergeCell ref="A76:M76"/>
    <mergeCell ref="A77:B77"/>
    <mergeCell ref="C77:M77"/>
    <mergeCell ref="F79:I79"/>
    <mergeCell ref="B84:N84"/>
    <mergeCell ref="A86:M86"/>
    <mergeCell ref="A87:B87"/>
    <mergeCell ref="C87:M87"/>
    <mergeCell ref="A79:A80"/>
    <mergeCell ref="B79:B80"/>
    <mergeCell ref="C79:C80"/>
  </mergeCells>
  <pageMargins left="0.118055555555556" right="0.118055555555556" top="0" bottom="0" header="0.51180555555555496" footer="0.51180555555555496"/>
  <pageSetup paperSize="9" scale="64" firstPageNumber="0" fitToHeight="0" orientation="landscape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Z974"/>
  <sheetViews>
    <sheetView topLeftCell="F379" zoomScale="85" zoomScaleNormal="85" workbookViewId="0">
      <selection activeCell="O412" sqref="O412"/>
    </sheetView>
  </sheetViews>
  <sheetFormatPr defaultColWidth="14.42578125" defaultRowHeight="16.899999999999999" customHeight="1" x14ac:dyDescent="0.25"/>
  <cols>
    <col min="1" max="2" width="5.7109375" style="1" customWidth="1"/>
    <col min="3" max="3" width="36.5703125" style="1" customWidth="1"/>
    <col min="4" max="4" width="20.42578125" style="1" hidden="1" customWidth="1"/>
    <col min="5" max="5" width="33" style="1" customWidth="1"/>
    <col min="6" max="6" width="18.28515625" style="1" customWidth="1"/>
    <col min="7" max="7" width="12" style="1" customWidth="1"/>
    <col min="8" max="8" width="10.5703125" style="1" customWidth="1"/>
    <col min="9" max="9" width="11.42578125" style="1" customWidth="1"/>
    <col min="10" max="10" width="10.5703125" style="1" customWidth="1"/>
    <col min="11" max="11" width="5.7109375" style="1" customWidth="1"/>
    <col min="12" max="12" width="12.5703125" style="1" customWidth="1"/>
    <col min="13" max="13" width="20.42578125" style="1" customWidth="1"/>
    <col min="14" max="14" width="9.85546875" style="1" customWidth="1"/>
    <col min="15" max="15" width="10.140625" style="1" customWidth="1"/>
    <col min="16" max="26" width="8.7109375" style="1" customWidth="1"/>
    <col min="27" max="16384" width="14.42578125" style="1"/>
  </cols>
  <sheetData>
    <row r="1" spans="1:26" ht="16.899999999999999" hidden="1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899999999999999" hidden="1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899999999999999" hidden="1" customHeight="1" x14ac:dyDescent="0.3">
      <c r="A3" s="2"/>
      <c r="B3" s="458" t="s">
        <v>274</v>
      </c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99999999999999" hidden="1" customHeight="1" x14ac:dyDescent="0.3">
      <c r="A4" s="2"/>
      <c r="B4" s="459" t="s">
        <v>224</v>
      </c>
      <c r="C4" s="459"/>
      <c r="D4" s="3"/>
      <c r="E4" s="460" t="s">
        <v>275</v>
      </c>
      <c r="F4" s="460"/>
      <c r="G4" s="460"/>
      <c r="H4" s="460"/>
      <c r="I4" s="460"/>
      <c r="J4" s="460"/>
      <c r="K4" s="460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899999999999999" hidden="1" customHeight="1" x14ac:dyDescent="0.3">
      <c r="A5" s="2"/>
      <c r="B5" s="2"/>
      <c r="C5" s="2"/>
      <c r="D5" s="2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899999999999999" hidden="1" customHeight="1" x14ac:dyDescent="0.3">
      <c r="A6" s="2"/>
      <c r="B6" s="453" t="s">
        <v>227</v>
      </c>
      <c r="C6" s="453" t="s">
        <v>228</v>
      </c>
      <c r="D6" s="453" t="s">
        <v>229</v>
      </c>
      <c r="E6" s="454" t="s">
        <v>230</v>
      </c>
      <c r="F6" s="454" t="s">
        <v>231</v>
      </c>
      <c r="G6" s="454" t="s">
        <v>232</v>
      </c>
      <c r="H6" s="454"/>
      <c r="I6" s="454"/>
      <c r="J6" s="454"/>
      <c r="K6" s="454" t="s">
        <v>9</v>
      </c>
      <c r="L6" s="454" t="s">
        <v>233</v>
      </c>
      <c r="M6" s="455" t="s">
        <v>234</v>
      </c>
      <c r="N6" s="453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hidden="1" customHeight="1" x14ac:dyDescent="0.3">
      <c r="A7" s="2"/>
      <c r="B7" s="453"/>
      <c r="C7" s="453"/>
      <c r="D7" s="453"/>
      <c r="E7" s="454"/>
      <c r="F7" s="454"/>
      <c r="G7" s="7" t="s">
        <v>235</v>
      </c>
      <c r="H7" s="6" t="s">
        <v>236</v>
      </c>
      <c r="I7" s="7" t="s">
        <v>235</v>
      </c>
      <c r="J7" s="6" t="s">
        <v>236</v>
      </c>
      <c r="K7" s="454"/>
      <c r="L7" s="454"/>
      <c r="M7" s="454"/>
      <c r="N7" s="45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hidden="1" customHeight="1" x14ac:dyDescent="0.3">
      <c r="A8" s="2"/>
      <c r="B8" s="451">
        <v>1</v>
      </c>
      <c r="C8" s="456" t="s">
        <v>276</v>
      </c>
      <c r="D8" s="456"/>
      <c r="E8" s="9" t="s">
        <v>277</v>
      </c>
      <c r="F8" s="6" t="s">
        <v>240</v>
      </c>
      <c r="G8" s="10">
        <v>44593</v>
      </c>
      <c r="H8" s="11">
        <v>214140</v>
      </c>
      <c r="I8" s="10">
        <v>44896</v>
      </c>
      <c r="J8" s="11">
        <v>214528</v>
      </c>
      <c r="K8" s="47">
        <v>1</v>
      </c>
      <c r="L8" s="79">
        <f>J8-H8</f>
        <v>388</v>
      </c>
      <c r="M8" s="49">
        <v>4.9663925066904504</v>
      </c>
      <c r="N8" s="102">
        <f>L8*M8</f>
        <v>1926.9602925958948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hidden="1" customHeight="1" x14ac:dyDescent="0.3">
      <c r="A9" s="2"/>
      <c r="B9" s="452"/>
      <c r="C9" s="457"/>
      <c r="D9" s="457"/>
      <c r="E9" s="9" t="s">
        <v>278</v>
      </c>
      <c r="F9" s="6" t="s">
        <v>279</v>
      </c>
      <c r="G9" s="10">
        <v>44593</v>
      </c>
      <c r="H9" s="92">
        <v>1525</v>
      </c>
      <c r="I9" s="10">
        <v>44896</v>
      </c>
      <c r="J9" s="92">
        <v>1550.69</v>
      </c>
      <c r="K9" s="47">
        <v>1</v>
      </c>
      <c r="L9" s="48">
        <f>J9-H9</f>
        <v>25.690000000000055</v>
      </c>
      <c r="M9" s="49">
        <v>30.38</v>
      </c>
      <c r="N9" s="103">
        <f>L9*M9</f>
        <v>780.46220000000164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hidden="1" customHeight="1" x14ac:dyDescent="0.3">
      <c r="A10" s="2"/>
      <c r="B10" s="6">
        <v>2</v>
      </c>
      <c r="C10" s="93" t="s">
        <v>280</v>
      </c>
      <c r="D10" s="8"/>
      <c r="E10" s="9" t="s">
        <v>281</v>
      </c>
      <c r="F10" s="6" t="s">
        <v>240</v>
      </c>
      <c r="G10" s="10">
        <v>44593</v>
      </c>
      <c r="H10" s="94">
        <v>16853</v>
      </c>
      <c r="I10" s="10">
        <v>44896</v>
      </c>
      <c r="J10" s="94">
        <v>17993</v>
      </c>
      <c r="K10" s="47">
        <v>1</v>
      </c>
      <c r="L10" s="48">
        <f>J10-H10</f>
        <v>1140</v>
      </c>
      <c r="M10" s="49">
        <f>M8</f>
        <v>4.9663925066904504</v>
      </c>
      <c r="N10" s="103">
        <f>L10*M10</f>
        <v>5661.6874576271139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hidden="1" customHeight="1" x14ac:dyDescent="0.3">
      <c r="A11" s="2"/>
      <c r="B11" s="6">
        <v>3</v>
      </c>
      <c r="C11" s="95" t="s">
        <v>282</v>
      </c>
      <c r="D11" s="8"/>
      <c r="E11" s="9" t="s">
        <v>283</v>
      </c>
      <c r="F11" s="6" t="s">
        <v>240</v>
      </c>
      <c r="G11" s="10">
        <v>44866</v>
      </c>
      <c r="H11" s="94">
        <v>28080.799999999999</v>
      </c>
      <c r="I11" s="10">
        <v>44896</v>
      </c>
      <c r="J11" s="94">
        <v>28096.3</v>
      </c>
      <c r="K11" s="47">
        <v>1</v>
      </c>
      <c r="L11" s="48">
        <f>J11-H11</f>
        <v>15.5</v>
      </c>
      <c r="M11" s="49">
        <f>M8</f>
        <v>4.9663925066904504</v>
      </c>
      <c r="N11" s="103">
        <f>L11*M11</f>
        <v>76.979083853701979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hidden="1" customHeight="1" x14ac:dyDescent="0.3">
      <c r="A12" s="2"/>
      <c r="B12" s="2"/>
      <c r="C12" s="2"/>
      <c r="D12" s="2"/>
      <c r="E12" s="2"/>
      <c r="F12" s="2"/>
      <c r="G12" s="96"/>
      <c r="H12" s="96" t="s">
        <v>233</v>
      </c>
      <c r="I12" s="96" t="s">
        <v>234</v>
      </c>
      <c r="J12" s="96" t="s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hidden="1" customHeight="1" x14ac:dyDescent="0.3">
      <c r="A13" s="2"/>
      <c r="B13" s="2"/>
      <c r="C13" s="2"/>
      <c r="D13" s="2"/>
      <c r="E13" s="2"/>
      <c r="F13" s="2"/>
      <c r="G13" s="96" t="s">
        <v>284</v>
      </c>
      <c r="H13" s="96">
        <f>10*8.24</f>
        <v>82.4</v>
      </c>
      <c r="I13" s="96">
        <v>30.38</v>
      </c>
      <c r="J13" s="104">
        <f>H13*I13</f>
        <v>2503.3119999999999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hidden="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hidden="1" customHeight="1" x14ac:dyDescent="0.3">
      <c r="A15" s="2"/>
      <c r="B15" s="458" t="s">
        <v>285</v>
      </c>
      <c r="C15" s="458"/>
      <c r="D15" s="458"/>
      <c r="E15" s="458"/>
      <c r="F15" s="458"/>
      <c r="G15" s="458"/>
      <c r="H15" s="458"/>
      <c r="I15" s="458"/>
      <c r="J15" s="458"/>
      <c r="K15" s="458"/>
      <c r="L15" s="458"/>
      <c r="M15" s="458"/>
      <c r="N15" s="45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899999999999999" hidden="1" customHeight="1" x14ac:dyDescent="0.3">
      <c r="A16" s="2"/>
      <c r="B16" s="459" t="s">
        <v>224</v>
      </c>
      <c r="C16" s="459"/>
      <c r="D16" s="3"/>
      <c r="E16" s="460" t="s">
        <v>275</v>
      </c>
      <c r="F16" s="460"/>
      <c r="G16" s="460"/>
      <c r="H16" s="460"/>
      <c r="I16" s="460"/>
      <c r="J16" s="460"/>
      <c r="K16" s="460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hidden="1" customHeight="1" x14ac:dyDescent="0.3">
      <c r="A17" s="2"/>
      <c r="B17" s="2"/>
      <c r="C17" s="2"/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hidden="1" customHeight="1" x14ac:dyDescent="0.3">
      <c r="A18" s="2"/>
      <c r="B18" s="453" t="s">
        <v>227</v>
      </c>
      <c r="C18" s="453" t="s">
        <v>228</v>
      </c>
      <c r="D18" s="453" t="s">
        <v>229</v>
      </c>
      <c r="E18" s="454" t="s">
        <v>230</v>
      </c>
      <c r="F18" s="454" t="s">
        <v>231</v>
      </c>
      <c r="G18" s="454" t="s">
        <v>232</v>
      </c>
      <c r="H18" s="454"/>
      <c r="I18" s="454"/>
      <c r="J18" s="454"/>
      <c r="K18" s="454" t="s">
        <v>9</v>
      </c>
      <c r="L18" s="454" t="s">
        <v>233</v>
      </c>
      <c r="M18" s="455" t="s">
        <v>234</v>
      </c>
      <c r="N18" s="453" t="s">
        <v>18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hidden="1" customHeight="1" x14ac:dyDescent="0.3">
      <c r="A19" s="2"/>
      <c r="B19" s="453"/>
      <c r="C19" s="453"/>
      <c r="D19" s="453"/>
      <c r="E19" s="454"/>
      <c r="F19" s="454"/>
      <c r="G19" s="7" t="s">
        <v>235</v>
      </c>
      <c r="H19" s="6" t="s">
        <v>236</v>
      </c>
      <c r="I19" s="7" t="s">
        <v>235</v>
      </c>
      <c r="J19" s="6" t="s">
        <v>236</v>
      </c>
      <c r="K19" s="454"/>
      <c r="L19" s="454"/>
      <c r="M19" s="454"/>
      <c r="N19" s="45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hidden="1" customHeight="1" x14ac:dyDescent="0.3">
      <c r="A20" s="2"/>
      <c r="B20" s="451">
        <v>1</v>
      </c>
      <c r="C20" s="456" t="s">
        <v>276</v>
      </c>
      <c r="D20" s="456"/>
      <c r="E20" s="9" t="s">
        <v>277</v>
      </c>
      <c r="F20" s="6" t="s">
        <v>240</v>
      </c>
      <c r="G20" s="10">
        <v>44896</v>
      </c>
      <c r="H20" s="94">
        <v>214528</v>
      </c>
      <c r="I20" s="10">
        <v>44927</v>
      </c>
      <c r="J20" s="11">
        <v>214942</v>
      </c>
      <c r="K20" s="47">
        <v>1</v>
      </c>
      <c r="L20" s="79">
        <f>J20-H20</f>
        <v>414</v>
      </c>
      <c r="M20" s="49">
        <f>M8</f>
        <v>4.9663925066904504</v>
      </c>
      <c r="N20" s="102">
        <f>L20*M20</f>
        <v>2056.0864977698466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hidden="1" customHeight="1" x14ac:dyDescent="0.3">
      <c r="A21" s="2"/>
      <c r="B21" s="452"/>
      <c r="C21" s="457"/>
      <c r="D21" s="457"/>
      <c r="E21" s="9" t="s">
        <v>278</v>
      </c>
      <c r="F21" s="6" t="s">
        <v>279</v>
      </c>
      <c r="G21" s="10">
        <v>44593</v>
      </c>
      <c r="H21" s="92">
        <v>1550.69</v>
      </c>
      <c r="I21" s="10">
        <v>44924</v>
      </c>
      <c r="J21" s="11">
        <v>1558.93</v>
      </c>
      <c r="K21" s="47">
        <v>1</v>
      </c>
      <c r="L21" s="79">
        <f>J21-H21</f>
        <v>8.2400000000000091</v>
      </c>
      <c r="M21" s="49">
        <v>30.38</v>
      </c>
      <c r="N21" s="105">
        <f>L21*M21</f>
        <v>250.33120000000028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hidden="1" customHeight="1" x14ac:dyDescent="0.3">
      <c r="A22" s="2"/>
      <c r="B22" s="6">
        <v>2</v>
      </c>
      <c r="C22" s="93" t="s">
        <v>280</v>
      </c>
      <c r="D22" s="8"/>
      <c r="E22" s="9" t="s">
        <v>281</v>
      </c>
      <c r="F22" s="6" t="s">
        <v>240</v>
      </c>
      <c r="G22" s="10">
        <v>44896</v>
      </c>
      <c r="H22" s="94">
        <v>17993</v>
      </c>
      <c r="I22" s="10">
        <v>44927</v>
      </c>
      <c r="J22" s="94">
        <v>18109</v>
      </c>
      <c r="K22" s="106">
        <v>1</v>
      </c>
      <c r="L22" s="48">
        <f>J22-H22</f>
        <v>116</v>
      </c>
      <c r="M22" s="49">
        <f>M20</f>
        <v>4.9663925066904504</v>
      </c>
      <c r="N22" s="103">
        <f>L22*M22</f>
        <v>576.1015307760922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hidden="1" customHeight="1" x14ac:dyDescent="0.3">
      <c r="A23" s="2"/>
      <c r="B23" s="6">
        <v>3</v>
      </c>
      <c r="C23" s="93" t="s">
        <v>282</v>
      </c>
      <c r="D23" s="8"/>
      <c r="E23" s="9" t="s">
        <v>283</v>
      </c>
      <c r="F23" s="6" t="s">
        <v>240</v>
      </c>
      <c r="G23" s="10">
        <v>44866</v>
      </c>
      <c r="H23" s="94">
        <v>28096.3</v>
      </c>
      <c r="I23" s="10">
        <v>44927</v>
      </c>
      <c r="J23" s="94">
        <v>28112.3</v>
      </c>
      <c r="K23" s="47">
        <v>1</v>
      </c>
      <c r="L23" s="48">
        <f>J23-H23</f>
        <v>16</v>
      </c>
      <c r="M23" s="49">
        <f>M20</f>
        <v>4.9663925066904504</v>
      </c>
      <c r="N23" s="103">
        <f>L23*M23</f>
        <v>79.462280107047206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hidden="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hidden="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hidden="1" customHeight="1" x14ac:dyDescent="0.3">
      <c r="A26" s="2"/>
      <c r="B26" s="458" t="s">
        <v>286</v>
      </c>
      <c r="C26" s="458"/>
      <c r="D26" s="458"/>
      <c r="E26" s="458"/>
      <c r="F26" s="458"/>
      <c r="G26" s="458"/>
      <c r="H26" s="458"/>
      <c r="I26" s="458"/>
      <c r="J26" s="458"/>
      <c r="K26" s="458"/>
      <c r="L26" s="458"/>
      <c r="M26" s="458"/>
      <c r="N26" s="45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99999999999999" hidden="1" customHeight="1" x14ac:dyDescent="0.3">
      <c r="A27" s="2"/>
      <c r="B27" s="459" t="s">
        <v>224</v>
      </c>
      <c r="C27" s="459"/>
      <c r="D27" s="3"/>
      <c r="E27" s="460" t="s">
        <v>275</v>
      </c>
      <c r="F27" s="460"/>
      <c r="G27" s="460"/>
      <c r="H27" s="460"/>
      <c r="I27" s="460"/>
      <c r="J27" s="460"/>
      <c r="K27" s="460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99999999999999" hidden="1" customHeight="1" x14ac:dyDescent="0.3">
      <c r="A28" s="2"/>
      <c r="B28" s="2"/>
      <c r="C28" s="2"/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99999999999999" hidden="1" customHeight="1" x14ac:dyDescent="0.3">
      <c r="A29" s="2"/>
      <c r="B29" s="453" t="s">
        <v>227</v>
      </c>
      <c r="C29" s="453" t="s">
        <v>228</v>
      </c>
      <c r="D29" s="453" t="s">
        <v>229</v>
      </c>
      <c r="E29" s="454" t="s">
        <v>230</v>
      </c>
      <c r="F29" s="454" t="s">
        <v>231</v>
      </c>
      <c r="G29" s="454" t="s">
        <v>232</v>
      </c>
      <c r="H29" s="454"/>
      <c r="I29" s="454"/>
      <c r="J29" s="454"/>
      <c r="K29" s="454" t="s">
        <v>9</v>
      </c>
      <c r="L29" s="454" t="s">
        <v>233</v>
      </c>
      <c r="M29" s="455" t="s">
        <v>234</v>
      </c>
      <c r="N29" s="453" t="s">
        <v>18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99999999999999" hidden="1" customHeight="1" x14ac:dyDescent="0.3">
      <c r="A30" s="2"/>
      <c r="B30" s="453"/>
      <c r="C30" s="453"/>
      <c r="D30" s="453"/>
      <c r="E30" s="454"/>
      <c r="F30" s="454"/>
      <c r="G30" s="7" t="s">
        <v>235</v>
      </c>
      <c r="H30" s="6" t="s">
        <v>236</v>
      </c>
      <c r="I30" s="7" t="s">
        <v>235</v>
      </c>
      <c r="J30" s="6" t="s">
        <v>236</v>
      </c>
      <c r="K30" s="454"/>
      <c r="L30" s="454"/>
      <c r="M30" s="454"/>
      <c r="N30" s="45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99999999999999" hidden="1" customHeight="1" x14ac:dyDescent="0.3">
      <c r="A31" s="2"/>
      <c r="B31" s="451">
        <v>1</v>
      </c>
      <c r="C31" s="456" t="s">
        <v>276</v>
      </c>
      <c r="D31" s="456"/>
      <c r="E31" s="9" t="s">
        <v>277</v>
      </c>
      <c r="F31" s="6" t="s">
        <v>240</v>
      </c>
      <c r="G31" s="10">
        <v>44927</v>
      </c>
      <c r="H31" s="11">
        <v>214942</v>
      </c>
      <c r="I31" s="10">
        <v>44957</v>
      </c>
      <c r="J31" s="11">
        <v>215023</v>
      </c>
      <c r="K31" s="47">
        <v>1</v>
      </c>
      <c r="L31" s="79">
        <f>J31-H31</f>
        <v>81</v>
      </c>
      <c r="M31" s="49">
        <f>M20</f>
        <v>4.9663925066904504</v>
      </c>
      <c r="N31" s="102">
        <f>L31*M31</f>
        <v>402.27779304192649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99999999999999" hidden="1" customHeight="1" x14ac:dyDescent="0.3">
      <c r="A32" s="2"/>
      <c r="B32" s="452"/>
      <c r="C32" s="457"/>
      <c r="D32" s="457"/>
      <c r="E32" s="9" t="s">
        <v>278</v>
      </c>
      <c r="F32" s="6" t="s">
        <v>279</v>
      </c>
      <c r="G32" s="10">
        <v>44924</v>
      </c>
      <c r="H32" s="11">
        <v>1558.93</v>
      </c>
      <c r="I32" s="10">
        <v>44957</v>
      </c>
      <c r="J32" s="11">
        <v>1567.17</v>
      </c>
      <c r="K32" s="47">
        <v>1</v>
      </c>
      <c r="L32" s="79">
        <f>J32-H32</f>
        <v>8.2400000000000091</v>
      </c>
      <c r="M32" s="49">
        <v>30.38</v>
      </c>
      <c r="N32" s="102">
        <f>L32*M32</f>
        <v>250.33120000000028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99999999999999" hidden="1" customHeight="1" x14ac:dyDescent="0.3">
      <c r="A33" s="2"/>
      <c r="B33" s="6">
        <v>2</v>
      </c>
      <c r="C33" s="93" t="s">
        <v>280</v>
      </c>
      <c r="D33" s="8"/>
      <c r="E33" s="9" t="s">
        <v>281</v>
      </c>
      <c r="F33" s="6" t="s">
        <v>240</v>
      </c>
      <c r="G33" s="10">
        <v>44927</v>
      </c>
      <c r="H33" s="94">
        <v>18109</v>
      </c>
      <c r="I33" s="10">
        <v>44957</v>
      </c>
      <c r="J33" s="94">
        <v>18201.900000000001</v>
      </c>
      <c r="K33" s="106">
        <v>1</v>
      </c>
      <c r="L33" s="48">
        <f>J33-H33</f>
        <v>92.900000000001455</v>
      </c>
      <c r="M33" s="49">
        <f>M31</f>
        <v>4.9663925066904504</v>
      </c>
      <c r="N33" s="103">
        <f>L33*M33</f>
        <v>461.37786387155006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99999999999999" hidden="1" customHeight="1" x14ac:dyDescent="0.3">
      <c r="A34" s="2"/>
      <c r="B34" s="6">
        <v>3</v>
      </c>
      <c r="C34" s="93" t="s">
        <v>282</v>
      </c>
      <c r="D34" s="8"/>
      <c r="E34" s="9" t="s">
        <v>283</v>
      </c>
      <c r="F34" s="6" t="s">
        <v>240</v>
      </c>
      <c r="G34" s="10">
        <v>44926</v>
      </c>
      <c r="H34" s="94">
        <v>28112.3</v>
      </c>
      <c r="I34" s="10">
        <v>44957</v>
      </c>
      <c r="J34" s="94">
        <v>28126.799999999999</v>
      </c>
      <c r="K34" s="47">
        <v>1</v>
      </c>
      <c r="L34" s="48">
        <f>J34-H34</f>
        <v>14.5</v>
      </c>
      <c r="M34" s="49">
        <f>M31</f>
        <v>4.9663925066904504</v>
      </c>
      <c r="N34" s="103">
        <f>L34*M34</f>
        <v>72.012691347011526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99999999999999" hidden="1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99999999999999" hidden="1" customHeight="1" x14ac:dyDescent="0.3">
      <c r="A36" s="2"/>
      <c r="B36" s="458" t="s">
        <v>287</v>
      </c>
      <c r="C36" s="458"/>
      <c r="D36" s="458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99999999999999" hidden="1" customHeight="1" x14ac:dyDescent="0.3">
      <c r="A37" s="2"/>
      <c r="B37" s="459" t="s">
        <v>224</v>
      </c>
      <c r="C37" s="459"/>
      <c r="D37" s="3"/>
      <c r="E37" s="460" t="s">
        <v>275</v>
      </c>
      <c r="F37" s="460"/>
      <c r="G37" s="460"/>
      <c r="H37" s="460"/>
      <c r="I37" s="460"/>
      <c r="J37" s="460"/>
      <c r="K37" s="460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99999999999999" hidden="1" customHeight="1" x14ac:dyDescent="0.3">
      <c r="A38" s="2"/>
      <c r="B38" s="2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99999999999999" hidden="1" customHeight="1" x14ac:dyDescent="0.3">
      <c r="A39" s="2"/>
      <c r="B39" s="453" t="s">
        <v>227</v>
      </c>
      <c r="C39" s="453" t="s">
        <v>228</v>
      </c>
      <c r="D39" s="453" t="s">
        <v>229</v>
      </c>
      <c r="E39" s="454" t="s">
        <v>230</v>
      </c>
      <c r="F39" s="454" t="s">
        <v>231</v>
      </c>
      <c r="G39" s="454" t="s">
        <v>232</v>
      </c>
      <c r="H39" s="454"/>
      <c r="I39" s="454"/>
      <c r="J39" s="454"/>
      <c r="K39" s="454" t="s">
        <v>9</v>
      </c>
      <c r="L39" s="454" t="s">
        <v>233</v>
      </c>
      <c r="M39" s="455" t="s">
        <v>234</v>
      </c>
      <c r="N39" s="453" t="s">
        <v>18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99999999999999" hidden="1" customHeight="1" x14ac:dyDescent="0.3">
      <c r="A40" s="2"/>
      <c r="B40" s="453"/>
      <c r="C40" s="453"/>
      <c r="D40" s="453"/>
      <c r="E40" s="454"/>
      <c r="F40" s="454"/>
      <c r="G40" s="7" t="s">
        <v>235</v>
      </c>
      <c r="H40" s="6" t="s">
        <v>236</v>
      </c>
      <c r="I40" s="7" t="s">
        <v>235</v>
      </c>
      <c r="J40" s="6" t="s">
        <v>236</v>
      </c>
      <c r="K40" s="454"/>
      <c r="L40" s="454"/>
      <c r="M40" s="454"/>
      <c r="N40" s="45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99999999999999" hidden="1" customHeight="1" x14ac:dyDescent="0.3">
      <c r="A41" s="2"/>
      <c r="B41" s="451">
        <v>1</v>
      </c>
      <c r="C41" s="456" t="s">
        <v>276</v>
      </c>
      <c r="D41" s="456"/>
      <c r="E41" s="9" t="s">
        <v>277</v>
      </c>
      <c r="F41" s="6" t="s">
        <v>240</v>
      </c>
      <c r="G41" s="10">
        <v>44957</v>
      </c>
      <c r="H41" s="11">
        <v>215023</v>
      </c>
      <c r="I41" s="10">
        <v>44985</v>
      </c>
      <c r="J41" s="11">
        <v>215093</v>
      </c>
      <c r="K41" s="47">
        <v>1</v>
      </c>
      <c r="L41" s="79">
        <f>J41-H41</f>
        <v>70</v>
      </c>
      <c r="M41" s="49">
        <f>M8</f>
        <v>4.9663925066904504</v>
      </c>
      <c r="N41" s="102">
        <f>L41*M41</f>
        <v>347.64747546833155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99999999999999" hidden="1" customHeight="1" x14ac:dyDescent="0.3">
      <c r="A42" s="2"/>
      <c r="B42" s="452"/>
      <c r="C42" s="457"/>
      <c r="D42" s="457"/>
      <c r="E42" s="9" t="s">
        <v>278</v>
      </c>
      <c r="F42" s="6" t="s">
        <v>279</v>
      </c>
      <c r="G42" s="10">
        <v>44957</v>
      </c>
      <c r="H42" s="11">
        <v>1567.17</v>
      </c>
      <c r="I42" s="10">
        <v>44985</v>
      </c>
      <c r="J42" s="11">
        <v>1573.1</v>
      </c>
      <c r="K42" s="47">
        <v>1</v>
      </c>
      <c r="L42" s="79">
        <f>J42-H42</f>
        <v>5.9299999999998363</v>
      </c>
      <c r="M42" s="49">
        <v>30.446000000000002</v>
      </c>
      <c r="N42" s="102">
        <f>L42*M42</f>
        <v>180.54477999999503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99999999999999" hidden="1" customHeight="1" x14ac:dyDescent="0.3">
      <c r="A43" s="2"/>
      <c r="B43" s="6">
        <v>2</v>
      </c>
      <c r="C43" s="93" t="s">
        <v>280</v>
      </c>
      <c r="D43" s="8"/>
      <c r="E43" s="9" t="s">
        <v>281</v>
      </c>
      <c r="F43" s="6" t="s">
        <v>240</v>
      </c>
      <c r="G43" s="10">
        <v>44957</v>
      </c>
      <c r="H43" s="94">
        <v>18201.900000000001</v>
      </c>
      <c r="I43" s="10">
        <v>44957</v>
      </c>
      <c r="J43" s="94">
        <v>18201.900000000001</v>
      </c>
      <c r="K43" s="106">
        <v>1</v>
      </c>
      <c r="L43" s="48">
        <f>J43-H43</f>
        <v>0</v>
      </c>
      <c r="M43" s="49">
        <f>M8</f>
        <v>4.9663925066904504</v>
      </c>
      <c r="N43" s="103">
        <f>L43*M43</f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99999999999999" hidden="1" customHeight="1" x14ac:dyDescent="0.3">
      <c r="A44" s="2"/>
      <c r="B44" s="6">
        <v>3</v>
      </c>
      <c r="C44" s="93" t="s">
        <v>282</v>
      </c>
      <c r="D44" s="8"/>
      <c r="E44" s="9" t="s">
        <v>283</v>
      </c>
      <c r="F44" s="6" t="s">
        <v>240</v>
      </c>
      <c r="G44" s="10">
        <v>44957</v>
      </c>
      <c r="H44" s="94">
        <v>28126.799999999999</v>
      </c>
      <c r="I44" s="10">
        <v>44985</v>
      </c>
      <c r="J44" s="94">
        <v>28126.799999999999</v>
      </c>
      <c r="K44" s="47">
        <v>1</v>
      </c>
      <c r="L44" s="48">
        <f>J44-H44</f>
        <v>0</v>
      </c>
      <c r="M44" s="49">
        <f>M8</f>
        <v>4.9663925066904504</v>
      </c>
      <c r="N44" s="103">
        <f>L44*M44</f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99999999999999" hidden="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99999999999999" hidden="1" customHeight="1" x14ac:dyDescent="0.3">
      <c r="A46" s="2"/>
      <c r="B46" s="458" t="s">
        <v>288</v>
      </c>
      <c r="C46" s="458"/>
      <c r="D46" s="458"/>
      <c r="E46" s="458"/>
      <c r="F46" s="458"/>
      <c r="G46" s="458"/>
      <c r="H46" s="458"/>
      <c r="I46" s="458"/>
      <c r="J46" s="458"/>
      <c r="K46" s="458"/>
      <c r="L46" s="458"/>
      <c r="M46" s="458"/>
      <c r="N46" s="45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99999999999999" hidden="1" customHeight="1" x14ac:dyDescent="0.3">
      <c r="A47" s="2"/>
      <c r="B47" s="459" t="s">
        <v>224</v>
      </c>
      <c r="C47" s="459"/>
      <c r="D47" s="3"/>
      <c r="E47" s="460" t="s">
        <v>275</v>
      </c>
      <c r="F47" s="460"/>
      <c r="G47" s="460"/>
      <c r="H47" s="460"/>
      <c r="I47" s="460"/>
      <c r="J47" s="460"/>
      <c r="K47" s="460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99999999999999" hidden="1" customHeight="1" x14ac:dyDescent="0.3">
      <c r="A48" s="2"/>
      <c r="B48" s="2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99999999999999" hidden="1" customHeight="1" x14ac:dyDescent="0.3">
      <c r="A49" s="2"/>
      <c r="B49" s="453" t="s">
        <v>227</v>
      </c>
      <c r="C49" s="453" t="s">
        <v>228</v>
      </c>
      <c r="D49" s="453" t="s">
        <v>229</v>
      </c>
      <c r="E49" s="454" t="s">
        <v>230</v>
      </c>
      <c r="F49" s="454" t="s">
        <v>231</v>
      </c>
      <c r="G49" s="454" t="s">
        <v>232</v>
      </c>
      <c r="H49" s="454"/>
      <c r="I49" s="454"/>
      <c r="J49" s="454"/>
      <c r="K49" s="454" t="s">
        <v>9</v>
      </c>
      <c r="L49" s="454" t="s">
        <v>233</v>
      </c>
      <c r="M49" s="455" t="s">
        <v>234</v>
      </c>
      <c r="N49" s="453" t="s">
        <v>18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99999999999999" hidden="1" customHeight="1" x14ac:dyDescent="0.3">
      <c r="A50" s="2"/>
      <c r="B50" s="453"/>
      <c r="C50" s="453"/>
      <c r="D50" s="453"/>
      <c r="E50" s="454"/>
      <c r="F50" s="454"/>
      <c r="G50" s="7" t="s">
        <v>235</v>
      </c>
      <c r="H50" s="6" t="s">
        <v>236</v>
      </c>
      <c r="I50" s="7" t="s">
        <v>235</v>
      </c>
      <c r="J50" s="6" t="s">
        <v>236</v>
      </c>
      <c r="K50" s="454"/>
      <c r="L50" s="454"/>
      <c r="M50" s="454"/>
      <c r="N50" s="45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99999999999999" hidden="1" customHeight="1" x14ac:dyDescent="0.3">
      <c r="A51" s="2"/>
      <c r="B51" s="451">
        <v>1</v>
      </c>
      <c r="C51" s="456" t="s">
        <v>276</v>
      </c>
      <c r="D51" s="456"/>
      <c r="E51" s="9" t="s">
        <v>277</v>
      </c>
      <c r="F51" s="6" t="s">
        <v>240</v>
      </c>
      <c r="G51" s="10">
        <v>44985</v>
      </c>
      <c r="H51" s="11">
        <v>215093</v>
      </c>
      <c r="I51" s="10">
        <v>45016</v>
      </c>
      <c r="J51" s="11">
        <v>215369</v>
      </c>
      <c r="K51" s="47">
        <v>1</v>
      </c>
      <c r="L51" s="79">
        <f>J51-H51</f>
        <v>276</v>
      </c>
      <c r="M51" s="49">
        <v>5.1479999999999997</v>
      </c>
      <c r="N51" s="102">
        <f>L51*M51</f>
        <v>1420.848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99999999999999" hidden="1" customHeight="1" x14ac:dyDescent="0.3">
      <c r="A52" s="2"/>
      <c r="B52" s="452"/>
      <c r="C52" s="457"/>
      <c r="D52" s="457"/>
      <c r="E52" s="9" t="s">
        <v>278</v>
      </c>
      <c r="F52" s="6" t="s">
        <v>279</v>
      </c>
      <c r="G52" s="10">
        <v>44985</v>
      </c>
      <c r="H52" s="11">
        <v>1573.1</v>
      </c>
      <c r="I52" s="10">
        <v>45016</v>
      </c>
      <c r="J52" s="11">
        <v>1580.01</v>
      </c>
      <c r="K52" s="47">
        <v>1</v>
      </c>
      <c r="L52" s="79">
        <f>J52-H52</f>
        <v>6.9100000000000819</v>
      </c>
      <c r="M52" s="49">
        <v>30.446000000000002</v>
      </c>
      <c r="N52" s="102">
        <f>L52*M52</f>
        <v>210.38186000000249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99999999999999" hidden="1" customHeight="1" x14ac:dyDescent="0.3">
      <c r="A53" s="2"/>
      <c r="B53" s="6">
        <v>2</v>
      </c>
      <c r="C53" s="93" t="s">
        <v>280</v>
      </c>
      <c r="D53" s="8"/>
      <c r="E53" s="9" t="s">
        <v>281</v>
      </c>
      <c r="F53" s="6" t="s">
        <v>240</v>
      </c>
      <c r="G53" s="10">
        <v>44957</v>
      </c>
      <c r="H53" s="94">
        <v>18201.900000000001</v>
      </c>
      <c r="I53" s="10">
        <v>45016</v>
      </c>
      <c r="J53" s="94">
        <v>18461.599999999999</v>
      </c>
      <c r="K53" s="106">
        <v>1</v>
      </c>
      <c r="L53" s="48">
        <f>J53-H53</f>
        <v>259.69999999999709</v>
      </c>
      <c r="M53" s="49">
        <v>5.1479999999999997</v>
      </c>
      <c r="N53" s="103">
        <f>L53*M53</f>
        <v>1336.935599999985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99999999999999" hidden="1" customHeight="1" x14ac:dyDescent="0.3">
      <c r="A54" s="2"/>
      <c r="B54" s="6">
        <v>3</v>
      </c>
      <c r="C54" s="93" t="s">
        <v>282</v>
      </c>
      <c r="D54" s="8"/>
      <c r="E54" s="9" t="s">
        <v>283</v>
      </c>
      <c r="F54" s="6" t="s">
        <v>240</v>
      </c>
      <c r="G54" s="10">
        <v>44985</v>
      </c>
      <c r="H54" s="94">
        <v>28126.799999999999</v>
      </c>
      <c r="I54" s="10">
        <v>45016</v>
      </c>
      <c r="J54" s="94">
        <v>28126.799999999999</v>
      </c>
      <c r="K54" s="47">
        <v>1</v>
      </c>
      <c r="L54" s="48">
        <f>J54-H54</f>
        <v>0</v>
      </c>
      <c r="M54" s="49">
        <v>5.1479999999999997</v>
      </c>
      <c r="N54" s="103">
        <f>L54*M54</f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99999999999999" hidden="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99999999999999" hidden="1" customHeight="1" x14ac:dyDescent="0.3">
      <c r="A56" s="2"/>
      <c r="B56" s="96" t="s">
        <v>227</v>
      </c>
      <c r="C56" s="96" t="s">
        <v>228</v>
      </c>
      <c r="D56" s="96"/>
      <c r="E56" s="97" t="s">
        <v>231</v>
      </c>
      <c r="F56" s="96" t="s">
        <v>289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99999999999999" hidden="1" customHeight="1" x14ac:dyDescent="0.3">
      <c r="A57" s="2"/>
      <c r="B57" s="453">
        <v>1</v>
      </c>
      <c r="C57" s="463" t="s">
        <v>276</v>
      </c>
      <c r="D57" s="95"/>
      <c r="E57" s="6" t="s">
        <v>240</v>
      </c>
      <c r="F57" s="98">
        <f>N51+N41+N31+N20+N8</f>
        <v>6153.8200588759992</v>
      </c>
      <c r="G57" s="98">
        <f>SUM(F57:F58)</f>
        <v>7825.8712988759989</v>
      </c>
      <c r="H57" s="96" t="s">
        <v>18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99999999999999" hidden="1" customHeight="1" x14ac:dyDescent="0.3">
      <c r="A58" s="2"/>
      <c r="B58" s="453"/>
      <c r="C58" s="463"/>
      <c r="D58" s="95"/>
      <c r="E58" s="6" t="s">
        <v>279</v>
      </c>
      <c r="F58" s="98">
        <f>N52+N42+N32+N21+N9</f>
        <v>1672.0512399999998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99999999999999" hidden="1" customHeight="1" x14ac:dyDescent="0.3">
      <c r="A59" s="2"/>
      <c r="B59" s="6">
        <v>2</v>
      </c>
      <c r="C59" s="93" t="s">
        <v>280</v>
      </c>
      <c r="D59" s="95"/>
      <c r="E59" s="6" t="s">
        <v>240</v>
      </c>
      <c r="F59" s="99">
        <f>N53+N33+N22+N10</f>
        <v>8036.1024522747412</v>
      </c>
      <c r="G59" s="2"/>
      <c r="H59" s="100">
        <v>4000</v>
      </c>
      <c r="I59" s="100" t="s">
        <v>290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99999999999999" hidden="1" customHeight="1" x14ac:dyDescent="0.3">
      <c r="A60" s="2"/>
      <c r="B60" s="2"/>
      <c r="C60" s="2"/>
      <c r="D60" s="2"/>
      <c r="E60" s="101" t="s">
        <v>220</v>
      </c>
      <c r="F60" s="99">
        <f>SUM(F57:F59)</f>
        <v>15861.973751150741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99999999999999" hidden="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99999999999999" hidden="1" customHeight="1" x14ac:dyDescent="0.3">
      <c r="A62" s="2"/>
      <c r="B62" s="458" t="s">
        <v>291</v>
      </c>
      <c r="C62" s="458"/>
      <c r="D62" s="458"/>
      <c r="E62" s="458"/>
      <c r="F62" s="458"/>
      <c r="G62" s="458"/>
      <c r="H62" s="458"/>
      <c r="I62" s="458"/>
      <c r="J62" s="458"/>
      <c r="K62" s="458"/>
      <c r="L62" s="458"/>
      <c r="M62" s="458"/>
      <c r="N62" s="45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99999999999999" hidden="1" customHeight="1" x14ac:dyDescent="0.3">
      <c r="A63" s="2"/>
      <c r="B63" s="459" t="s">
        <v>224</v>
      </c>
      <c r="C63" s="459"/>
      <c r="D63" s="3"/>
      <c r="E63" s="460" t="s">
        <v>275</v>
      </c>
      <c r="F63" s="460"/>
      <c r="G63" s="460"/>
      <c r="H63" s="460"/>
      <c r="I63" s="460"/>
      <c r="J63" s="460"/>
      <c r="K63" s="460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99999999999999" hidden="1" customHeight="1" x14ac:dyDescent="0.3">
      <c r="A64" s="2"/>
      <c r="B64" s="2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99999999999999" hidden="1" customHeight="1" x14ac:dyDescent="0.3">
      <c r="A65" s="2"/>
      <c r="B65" s="453" t="s">
        <v>227</v>
      </c>
      <c r="C65" s="453" t="s">
        <v>228</v>
      </c>
      <c r="D65" s="453" t="s">
        <v>229</v>
      </c>
      <c r="E65" s="454" t="s">
        <v>230</v>
      </c>
      <c r="F65" s="454" t="s">
        <v>231</v>
      </c>
      <c r="G65" s="454" t="s">
        <v>232</v>
      </c>
      <c r="H65" s="454"/>
      <c r="I65" s="454"/>
      <c r="J65" s="454"/>
      <c r="K65" s="454" t="s">
        <v>9</v>
      </c>
      <c r="L65" s="454" t="s">
        <v>292</v>
      </c>
      <c r="M65" s="455" t="s">
        <v>293</v>
      </c>
      <c r="N65" s="453" t="s">
        <v>18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99999999999999" hidden="1" customHeight="1" x14ac:dyDescent="0.3">
      <c r="A66" s="2"/>
      <c r="B66" s="453"/>
      <c r="C66" s="453"/>
      <c r="D66" s="453"/>
      <c r="E66" s="454"/>
      <c r="F66" s="454"/>
      <c r="G66" s="7" t="s">
        <v>235</v>
      </c>
      <c r="H66" s="6" t="s">
        <v>236</v>
      </c>
      <c r="I66" s="7" t="s">
        <v>235</v>
      </c>
      <c r="J66" s="6" t="s">
        <v>236</v>
      </c>
      <c r="K66" s="454"/>
      <c r="L66" s="454"/>
      <c r="M66" s="454"/>
      <c r="N66" s="45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99999999999999" hidden="1" customHeight="1" x14ac:dyDescent="0.3">
      <c r="A67" s="2"/>
      <c r="B67" s="451">
        <v>1</v>
      </c>
      <c r="C67" s="456" t="s">
        <v>276</v>
      </c>
      <c r="D67" s="456"/>
      <c r="E67" s="9" t="s">
        <v>277</v>
      </c>
      <c r="F67" s="6" t="s">
        <v>240</v>
      </c>
      <c r="G67" s="10">
        <v>45016</v>
      </c>
      <c r="H67" s="11">
        <v>215369</v>
      </c>
      <c r="I67" s="10">
        <v>45046</v>
      </c>
      <c r="J67" s="11">
        <v>215444</v>
      </c>
      <c r="K67" s="47">
        <v>1</v>
      </c>
      <c r="L67" s="79">
        <f>J67-H67</f>
        <v>75</v>
      </c>
      <c r="M67" s="82">
        <v>4.6829516957862296</v>
      </c>
      <c r="N67" s="102">
        <f>L67*M67</f>
        <v>351.22137718396721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99999999999999" hidden="1" customHeight="1" x14ac:dyDescent="0.3">
      <c r="A68" s="2"/>
      <c r="B68" s="452"/>
      <c r="C68" s="457"/>
      <c r="D68" s="457"/>
      <c r="E68" s="9" t="s">
        <v>278</v>
      </c>
      <c r="F68" s="6" t="s">
        <v>279</v>
      </c>
      <c r="G68" s="10">
        <v>45016</v>
      </c>
      <c r="H68" s="11">
        <v>1580.01</v>
      </c>
      <c r="I68" s="10">
        <v>45046</v>
      </c>
      <c r="J68" s="11">
        <v>1586.3440000000001</v>
      </c>
      <c r="K68" s="47">
        <v>1</v>
      </c>
      <c r="L68" s="79">
        <f>J68-H68</f>
        <v>6.33400000000006</v>
      </c>
      <c r="M68" s="49">
        <v>30.38</v>
      </c>
      <c r="N68" s="102">
        <f>L68*M68</f>
        <v>192.42692000000181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99999999999999" hidden="1" customHeight="1" x14ac:dyDescent="0.3">
      <c r="A69" s="2"/>
      <c r="B69" s="6">
        <v>2</v>
      </c>
      <c r="C69" s="93" t="s">
        <v>280</v>
      </c>
      <c r="D69" s="8"/>
      <c r="E69" s="9" t="s">
        <v>281</v>
      </c>
      <c r="F69" s="6" t="s">
        <v>240</v>
      </c>
      <c r="G69" s="10">
        <v>45016</v>
      </c>
      <c r="H69" s="94">
        <v>18461.599999999999</v>
      </c>
      <c r="I69" s="10">
        <v>45046</v>
      </c>
      <c r="J69" s="94">
        <v>18554.400000000001</v>
      </c>
      <c r="K69" s="106">
        <v>1</v>
      </c>
      <c r="L69" s="48">
        <f>J69-H69</f>
        <v>92.80000000000291</v>
      </c>
      <c r="M69" s="82">
        <v>4.6829516957862296</v>
      </c>
      <c r="N69" s="103">
        <f>L69*M69</f>
        <v>434.57791736897576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99999999999999" hidden="1" customHeight="1" x14ac:dyDescent="0.3">
      <c r="A70" s="2"/>
      <c r="B70" s="6">
        <v>3</v>
      </c>
      <c r="C70" s="93" t="s">
        <v>282</v>
      </c>
      <c r="D70" s="8"/>
      <c r="E70" s="9" t="s">
        <v>283</v>
      </c>
      <c r="F70" s="6" t="s">
        <v>240</v>
      </c>
      <c r="G70" s="10">
        <v>45016</v>
      </c>
      <c r="H70" s="94">
        <v>28126.799999999999</v>
      </c>
      <c r="I70" s="10">
        <v>45046</v>
      </c>
      <c r="J70" s="94">
        <v>28160.6</v>
      </c>
      <c r="K70" s="47">
        <v>1</v>
      </c>
      <c r="L70" s="48">
        <f>J70-H70</f>
        <v>33.799999999999272</v>
      </c>
      <c r="M70" s="82">
        <v>4.6829516957862296</v>
      </c>
      <c r="N70" s="103">
        <f>L70*M70</f>
        <v>158.28376731757115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99999999999999" hidden="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99999999999999" hidden="1" customHeight="1" x14ac:dyDescent="0.3">
      <c r="A72" s="2"/>
      <c r="B72" s="458" t="s">
        <v>294</v>
      </c>
      <c r="C72" s="458"/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99999999999999" hidden="1" customHeight="1" x14ac:dyDescent="0.3">
      <c r="A73" s="2"/>
      <c r="B73" s="459" t="s">
        <v>224</v>
      </c>
      <c r="C73" s="459"/>
      <c r="D73" s="3"/>
      <c r="E73" s="460" t="s">
        <v>275</v>
      </c>
      <c r="F73" s="460"/>
      <c r="G73" s="460"/>
      <c r="H73" s="460"/>
      <c r="I73" s="460"/>
      <c r="J73" s="460"/>
      <c r="K73" s="460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99999999999999" hidden="1" customHeight="1" x14ac:dyDescent="0.3">
      <c r="A74" s="2"/>
      <c r="B74" s="2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99999999999999" hidden="1" customHeight="1" x14ac:dyDescent="0.3">
      <c r="A75" s="2"/>
      <c r="B75" s="453" t="s">
        <v>227</v>
      </c>
      <c r="C75" s="453" t="s">
        <v>228</v>
      </c>
      <c r="D75" s="453" t="s">
        <v>229</v>
      </c>
      <c r="E75" s="454" t="s">
        <v>230</v>
      </c>
      <c r="F75" s="454" t="s">
        <v>231</v>
      </c>
      <c r="G75" s="454" t="s">
        <v>232</v>
      </c>
      <c r="H75" s="454"/>
      <c r="I75" s="454"/>
      <c r="J75" s="454"/>
      <c r="K75" s="454" t="s">
        <v>9</v>
      </c>
      <c r="L75" s="454" t="s">
        <v>292</v>
      </c>
      <c r="M75" s="455" t="s">
        <v>293</v>
      </c>
      <c r="N75" s="453" t="s">
        <v>18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99999999999999" hidden="1" customHeight="1" x14ac:dyDescent="0.3">
      <c r="A76" s="2"/>
      <c r="B76" s="453"/>
      <c r="C76" s="453"/>
      <c r="D76" s="453"/>
      <c r="E76" s="454"/>
      <c r="F76" s="454"/>
      <c r="G76" s="7" t="s">
        <v>235</v>
      </c>
      <c r="H76" s="6" t="s">
        <v>236</v>
      </c>
      <c r="I76" s="7" t="s">
        <v>235</v>
      </c>
      <c r="J76" s="6" t="s">
        <v>236</v>
      </c>
      <c r="K76" s="454"/>
      <c r="L76" s="454"/>
      <c r="M76" s="454"/>
      <c r="N76" s="45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99999999999999" hidden="1" customHeight="1" x14ac:dyDescent="0.3">
      <c r="A77" s="2"/>
      <c r="B77" s="451">
        <v>1</v>
      </c>
      <c r="C77" s="456" t="s">
        <v>276</v>
      </c>
      <c r="D77" s="456"/>
      <c r="E77" s="9" t="s">
        <v>277</v>
      </c>
      <c r="F77" s="6" t="s">
        <v>240</v>
      </c>
      <c r="G77" s="10">
        <v>45046</v>
      </c>
      <c r="H77" s="11">
        <v>215444</v>
      </c>
      <c r="I77" s="10">
        <v>45077</v>
      </c>
      <c r="J77" s="11">
        <v>215490</v>
      </c>
      <c r="K77" s="47">
        <v>1</v>
      </c>
      <c r="L77" s="79">
        <f>J77-H77</f>
        <v>46</v>
      </c>
      <c r="M77" s="82">
        <v>4.819</v>
      </c>
      <c r="N77" s="102">
        <f>L77*M77</f>
        <v>221.67400000000001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99999999999999" hidden="1" customHeight="1" x14ac:dyDescent="0.3">
      <c r="A78" s="2"/>
      <c r="B78" s="452"/>
      <c r="C78" s="457"/>
      <c r="D78" s="457"/>
      <c r="E78" s="9" t="s">
        <v>278</v>
      </c>
      <c r="F78" s="6" t="s">
        <v>279</v>
      </c>
      <c r="G78" s="10">
        <v>45046</v>
      </c>
      <c r="H78" s="11">
        <v>1586.3440000000001</v>
      </c>
      <c r="I78" s="10">
        <v>45077</v>
      </c>
      <c r="J78" s="11">
        <v>1591.92</v>
      </c>
      <c r="K78" s="47">
        <v>1</v>
      </c>
      <c r="L78" s="79">
        <f>J78-H78</f>
        <v>5.5760000000000218</v>
      </c>
      <c r="M78" s="82">
        <v>30.38</v>
      </c>
      <c r="N78" s="102">
        <f>L78*M78</f>
        <v>169.39888000000064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99999999999999" hidden="1" customHeight="1" x14ac:dyDescent="0.3">
      <c r="A79" s="2"/>
      <c r="B79" s="6">
        <v>2</v>
      </c>
      <c r="C79" s="93" t="s">
        <v>280</v>
      </c>
      <c r="D79" s="8"/>
      <c r="E79" s="9" t="s">
        <v>281</v>
      </c>
      <c r="F79" s="6" t="s">
        <v>240</v>
      </c>
      <c r="G79" s="10">
        <v>45046</v>
      </c>
      <c r="H79" s="94">
        <v>18554.400000000001</v>
      </c>
      <c r="I79" s="10">
        <v>45077</v>
      </c>
      <c r="J79" s="94">
        <v>18683.8</v>
      </c>
      <c r="K79" s="106">
        <v>1</v>
      </c>
      <c r="L79" s="48">
        <f>J79-H79</f>
        <v>129.39999999999782</v>
      </c>
      <c r="M79" s="82">
        <v>4.819</v>
      </c>
      <c r="N79" s="103">
        <f>L79*M79</f>
        <v>623.57859999998948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99999999999999" hidden="1" customHeight="1" x14ac:dyDescent="0.3">
      <c r="A80" s="2"/>
      <c r="B80" s="6">
        <v>3</v>
      </c>
      <c r="C80" s="93" t="s">
        <v>282</v>
      </c>
      <c r="D80" s="8"/>
      <c r="E80" s="9" t="s">
        <v>283</v>
      </c>
      <c r="F80" s="6" t="s">
        <v>240</v>
      </c>
      <c r="G80" s="10">
        <v>45046</v>
      </c>
      <c r="H80" s="94">
        <v>28160.6</v>
      </c>
      <c r="I80" s="10">
        <v>45077</v>
      </c>
      <c r="J80" s="94">
        <v>28172.2</v>
      </c>
      <c r="K80" s="47">
        <v>1</v>
      </c>
      <c r="L80" s="48">
        <f>J80-H80</f>
        <v>11.600000000002183</v>
      </c>
      <c r="M80" s="82">
        <v>4.819</v>
      </c>
      <c r="N80" s="103">
        <f>L80*M80</f>
        <v>55.900400000010521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99999999999999" hidden="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99999999999999" hidden="1" customHeight="1" x14ac:dyDescent="0.3">
      <c r="A82" s="2"/>
      <c r="B82" s="458" t="s">
        <v>295</v>
      </c>
      <c r="C82" s="458"/>
      <c r="D82" s="458"/>
      <c r="E82" s="458"/>
      <c r="F82" s="458"/>
      <c r="G82" s="458"/>
      <c r="H82" s="458"/>
      <c r="I82" s="458"/>
      <c r="J82" s="458"/>
      <c r="K82" s="458"/>
      <c r="L82" s="458"/>
      <c r="M82" s="458"/>
      <c r="N82" s="45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99999999999999" hidden="1" customHeight="1" x14ac:dyDescent="0.3">
      <c r="A83" s="2"/>
      <c r="B83" s="459" t="s">
        <v>224</v>
      </c>
      <c r="C83" s="459"/>
      <c r="D83" s="3"/>
      <c r="E83" s="460" t="s">
        <v>275</v>
      </c>
      <c r="F83" s="460"/>
      <c r="G83" s="460"/>
      <c r="H83" s="460"/>
      <c r="I83" s="460"/>
      <c r="J83" s="460"/>
      <c r="K83" s="460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99999999999999" hidden="1" customHeight="1" x14ac:dyDescent="0.3">
      <c r="A84" s="2"/>
      <c r="B84" s="2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99999999999999" hidden="1" customHeight="1" x14ac:dyDescent="0.3">
      <c r="A85" s="2"/>
      <c r="B85" s="453" t="s">
        <v>227</v>
      </c>
      <c r="C85" s="453" t="s">
        <v>228</v>
      </c>
      <c r="D85" s="453" t="s">
        <v>229</v>
      </c>
      <c r="E85" s="454" t="s">
        <v>230</v>
      </c>
      <c r="F85" s="454" t="s">
        <v>231</v>
      </c>
      <c r="G85" s="454" t="s">
        <v>232</v>
      </c>
      <c r="H85" s="454"/>
      <c r="I85" s="454"/>
      <c r="J85" s="454"/>
      <c r="K85" s="454" t="s">
        <v>9</v>
      </c>
      <c r="L85" s="454" t="s">
        <v>292</v>
      </c>
      <c r="M85" s="455" t="s">
        <v>293</v>
      </c>
      <c r="N85" s="453" t="s">
        <v>18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99999999999999" hidden="1" customHeight="1" x14ac:dyDescent="0.3">
      <c r="A86" s="2"/>
      <c r="B86" s="453"/>
      <c r="C86" s="453"/>
      <c r="D86" s="453"/>
      <c r="E86" s="454"/>
      <c r="F86" s="454"/>
      <c r="G86" s="7" t="s">
        <v>235</v>
      </c>
      <c r="H86" s="6" t="s">
        <v>236</v>
      </c>
      <c r="I86" s="7" t="s">
        <v>235</v>
      </c>
      <c r="J86" s="6" t="s">
        <v>236</v>
      </c>
      <c r="K86" s="454"/>
      <c r="L86" s="454"/>
      <c r="M86" s="454"/>
      <c r="N86" s="45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99999999999999" hidden="1" customHeight="1" x14ac:dyDescent="0.3">
      <c r="A87" s="2"/>
      <c r="B87" s="451">
        <v>1</v>
      </c>
      <c r="C87" s="456" t="s">
        <v>276</v>
      </c>
      <c r="D87" s="456"/>
      <c r="E87" s="9" t="s">
        <v>277</v>
      </c>
      <c r="F87" s="6" t="s">
        <v>240</v>
      </c>
      <c r="G87" s="10">
        <v>45077</v>
      </c>
      <c r="H87" s="11">
        <v>21549</v>
      </c>
      <c r="I87" s="10">
        <v>45107</v>
      </c>
      <c r="J87" s="11">
        <v>21553</v>
      </c>
      <c r="K87" s="47">
        <v>1</v>
      </c>
      <c r="L87" s="79">
        <f>J87-H87</f>
        <v>4</v>
      </c>
      <c r="M87" s="82">
        <v>4.9791999999999996</v>
      </c>
      <c r="N87" s="102">
        <f>L87*M87</f>
        <v>19.916799999999999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99999999999999" hidden="1" customHeight="1" x14ac:dyDescent="0.3">
      <c r="A88" s="2"/>
      <c r="B88" s="452"/>
      <c r="C88" s="457"/>
      <c r="D88" s="457"/>
      <c r="E88" s="9" t="s">
        <v>278</v>
      </c>
      <c r="F88" s="6" t="s">
        <v>279</v>
      </c>
      <c r="G88" s="10">
        <v>45077</v>
      </c>
      <c r="H88" s="11">
        <v>1591.92</v>
      </c>
      <c r="I88" s="10">
        <v>45107</v>
      </c>
      <c r="J88" s="11">
        <v>1598.5</v>
      </c>
      <c r="K88" s="47">
        <v>1</v>
      </c>
      <c r="L88" s="79">
        <f>J88-H88</f>
        <v>6.5799999999999272</v>
      </c>
      <c r="M88" s="82">
        <v>30.38</v>
      </c>
      <c r="N88" s="102">
        <f>L88*M88</f>
        <v>199.90039999999777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99999999999999" hidden="1" customHeight="1" x14ac:dyDescent="0.3">
      <c r="A89" s="2"/>
      <c r="B89" s="6">
        <v>2</v>
      </c>
      <c r="C89" s="93" t="s">
        <v>280</v>
      </c>
      <c r="D89" s="8"/>
      <c r="E89" s="9" t="s">
        <v>281</v>
      </c>
      <c r="F89" s="6" t="s">
        <v>240</v>
      </c>
      <c r="G89" s="10">
        <v>45077</v>
      </c>
      <c r="H89" s="94">
        <v>18683.8</v>
      </c>
      <c r="I89" s="10">
        <v>45107</v>
      </c>
      <c r="J89" s="94">
        <v>18809</v>
      </c>
      <c r="K89" s="106">
        <v>1</v>
      </c>
      <c r="L89" s="48">
        <f>J89-H89</f>
        <v>125.20000000000073</v>
      </c>
      <c r="M89" s="82">
        <v>4.9791999999999996</v>
      </c>
      <c r="N89" s="103">
        <f>L89*M89</f>
        <v>623.39584000000355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99999999999999" hidden="1" customHeight="1" x14ac:dyDescent="0.3">
      <c r="A90" s="2"/>
      <c r="B90" s="6">
        <v>3</v>
      </c>
      <c r="C90" s="93" t="s">
        <v>282</v>
      </c>
      <c r="D90" s="8"/>
      <c r="E90" s="9" t="s">
        <v>283</v>
      </c>
      <c r="F90" s="6" t="s">
        <v>240</v>
      </c>
      <c r="G90" s="10">
        <v>45077</v>
      </c>
      <c r="H90" s="94">
        <v>28172.2</v>
      </c>
      <c r="I90" s="10">
        <v>45107</v>
      </c>
      <c r="J90" s="94">
        <v>28180</v>
      </c>
      <c r="K90" s="47">
        <v>1</v>
      </c>
      <c r="L90" s="48">
        <f>J90-H90</f>
        <v>7.7999999999992724</v>
      </c>
      <c r="M90" s="82">
        <v>4.9791999999999996</v>
      </c>
      <c r="N90" s="103">
        <f>L90*M90</f>
        <v>38.837759999996372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9999999999999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99999999999999" customHeight="1" x14ac:dyDescent="0.3">
      <c r="A92" s="2"/>
      <c r="B92" s="458" t="s">
        <v>296</v>
      </c>
      <c r="C92" s="458"/>
      <c r="D92" s="458"/>
      <c r="E92" s="458"/>
      <c r="F92" s="458"/>
      <c r="G92" s="458"/>
      <c r="H92" s="458"/>
      <c r="I92" s="458"/>
      <c r="J92" s="458"/>
      <c r="K92" s="458"/>
      <c r="L92" s="458"/>
      <c r="M92" s="458"/>
      <c r="N92" s="45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99999999999999" customHeight="1" x14ac:dyDescent="0.3">
      <c r="A93" s="2"/>
      <c r="B93" s="459" t="s">
        <v>224</v>
      </c>
      <c r="C93" s="459"/>
      <c r="D93" s="3"/>
      <c r="E93" s="460" t="s">
        <v>275</v>
      </c>
      <c r="F93" s="460"/>
      <c r="G93" s="460"/>
      <c r="H93" s="460"/>
      <c r="I93" s="460"/>
      <c r="J93" s="460"/>
      <c r="K93" s="460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99999999999999" customHeight="1" x14ac:dyDescent="0.3">
      <c r="A94" s="2"/>
      <c r="B94" s="2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99999999999999" customHeight="1" x14ac:dyDescent="0.3">
      <c r="A95" s="2"/>
      <c r="B95" s="453" t="s">
        <v>227</v>
      </c>
      <c r="C95" s="453" t="s">
        <v>228</v>
      </c>
      <c r="D95" s="453" t="s">
        <v>229</v>
      </c>
      <c r="E95" s="454" t="s">
        <v>230</v>
      </c>
      <c r="F95" s="454" t="s">
        <v>231</v>
      </c>
      <c r="G95" s="454" t="s">
        <v>232</v>
      </c>
      <c r="H95" s="454"/>
      <c r="I95" s="454"/>
      <c r="J95" s="454"/>
      <c r="K95" s="454" t="s">
        <v>9</v>
      </c>
      <c r="L95" s="454" t="s">
        <v>292</v>
      </c>
      <c r="M95" s="455" t="s">
        <v>293</v>
      </c>
      <c r="N95" s="453" t="s">
        <v>18</v>
      </c>
      <c r="O95" s="453" t="s">
        <v>297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99999999999999" customHeight="1" x14ac:dyDescent="0.3">
      <c r="A96" s="2"/>
      <c r="B96" s="453"/>
      <c r="C96" s="453"/>
      <c r="D96" s="453"/>
      <c r="E96" s="454"/>
      <c r="F96" s="454"/>
      <c r="G96" s="7" t="s">
        <v>235</v>
      </c>
      <c r="H96" s="6" t="s">
        <v>236</v>
      </c>
      <c r="I96" s="7" t="s">
        <v>235</v>
      </c>
      <c r="J96" s="6" t="s">
        <v>236</v>
      </c>
      <c r="K96" s="454"/>
      <c r="L96" s="454"/>
      <c r="M96" s="454"/>
      <c r="N96" s="454"/>
      <c r="O96" s="454" t="s">
        <v>297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99999999999999" customHeight="1" x14ac:dyDescent="0.3">
      <c r="A97" s="2"/>
      <c r="B97" s="451">
        <v>1</v>
      </c>
      <c r="C97" s="456" t="s">
        <v>276</v>
      </c>
      <c r="D97" s="456"/>
      <c r="E97" s="9" t="s">
        <v>277</v>
      </c>
      <c r="F97" s="6" t="s">
        <v>240</v>
      </c>
      <c r="G97" s="10">
        <v>45107</v>
      </c>
      <c r="H97" s="11">
        <v>21553</v>
      </c>
      <c r="I97" s="10">
        <v>45138</v>
      </c>
      <c r="J97" s="11">
        <v>21560</v>
      </c>
      <c r="K97" s="47">
        <v>1</v>
      </c>
      <c r="L97" s="79">
        <f>J97-H97</f>
        <v>7</v>
      </c>
      <c r="M97" s="82">
        <v>5.9466961526810103</v>
      </c>
      <c r="N97" s="102">
        <f>L97*M97</f>
        <v>41.626873068767068</v>
      </c>
      <c r="O97" s="10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99999999999999" customHeight="1" x14ac:dyDescent="0.3">
      <c r="A98" s="2"/>
      <c r="B98" s="452"/>
      <c r="C98" s="457"/>
      <c r="D98" s="457"/>
      <c r="E98" s="9" t="s">
        <v>278</v>
      </c>
      <c r="F98" s="6" t="s">
        <v>279</v>
      </c>
      <c r="G98" s="10">
        <v>45107</v>
      </c>
      <c r="H98" s="11">
        <v>1598.5</v>
      </c>
      <c r="I98" s="10">
        <v>45138</v>
      </c>
      <c r="J98" s="11">
        <v>1604</v>
      </c>
      <c r="K98" s="47">
        <v>1</v>
      </c>
      <c r="L98" s="79">
        <f>J98-H98</f>
        <v>5.5</v>
      </c>
      <c r="M98" s="82">
        <v>30.38</v>
      </c>
      <c r="N98" s="102">
        <f>L98*M98</f>
        <v>167.09</v>
      </c>
      <c r="O98" s="10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99999999999999" customHeight="1" x14ac:dyDescent="0.3">
      <c r="A99" s="2"/>
      <c r="B99" s="6">
        <v>2</v>
      </c>
      <c r="C99" s="93" t="s">
        <v>280</v>
      </c>
      <c r="D99" s="8"/>
      <c r="E99" s="9" t="s">
        <v>281</v>
      </c>
      <c r="F99" s="6" t="s">
        <v>240</v>
      </c>
      <c r="G99" s="10">
        <v>45107</v>
      </c>
      <c r="H99" s="94">
        <v>18809</v>
      </c>
      <c r="I99" s="10">
        <v>45138</v>
      </c>
      <c r="J99" s="94">
        <v>18931</v>
      </c>
      <c r="K99" s="106">
        <v>1</v>
      </c>
      <c r="L99" s="48">
        <f>J99-H99</f>
        <v>122</v>
      </c>
      <c r="M99" s="82">
        <v>5.9466961526810103</v>
      </c>
      <c r="N99" s="103">
        <f>L99*M99</f>
        <v>725.4969306270832</v>
      </c>
      <c r="O99" s="10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99999999999999" customHeight="1" x14ac:dyDescent="0.3">
      <c r="A100" s="2"/>
      <c r="B100" s="6">
        <v>3</v>
      </c>
      <c r="C100" s="93" t="s">
        <v>282</v>
      </c>
      <c r="D100" s="8"/>
      <c r="E100" s="9" t="s">
        <v>283</v>
      </c>
      <c r="F100" s="6" t="s">
        <v>240</v>
      </c>
      <c r="G100" s="10">
        <v>45107</v>
      </c>
      <c r="H100" s="94">
        <v>28180</v>
      </c>
      <c r="I100" s="10">
        <v>45138</v>
      </c>
      <c r="J100" s="94">
        <v>28181</v>
      </c>
      <c r="K100" s="47">
        <v>1</v>
      </c>
      <c r="L100" s="48">
        <f>J100-H100</f>
        <v>1</v>
      </c>
      <c r="M100" s="82">
        <v>5.9466961526810103</v>
      </c>
      <c r="N100" s="103">
        <f>L100*M100</f>
        <v>5.9466961526810103</v>
      </c>
      <c r="O100" s="9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9999999999999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99999999999999" customHeight="1" x14ac:dyDescent="0.3">
      <c r="A102" s="2"/>
      <c r="B102" s="458" t="s">
        <v>222</v>
      </c>
      <c r="C102" s="458"/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99999999999999" customHeight="1" x14ac:dyDescent="0.3">
      <c r="A103" s="2"/>
      <c r="B103" s="459" t="s">
        <v>224</v>
      </c>
      <c r="C103" s="459"/>
      <c r="D103" s="3"/>
      <c r="E103" s="460" t="s">
        <v>275</v>
      </c>
      <c r="F103" s="460"/>
      <c r="G103" s="460"/>
      <c r="H103" s="460"/>
      <c r="I103" s="460"/>
      <c r="J103" s="460"/>
      <c r="K103" s="460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99999999999999" customHeight="1" x14ac:dyDescent="0.3">
      <c r="A104" s="2"/>
      <c r="B104" s="2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99999999999999" customHeight="1" x14ac:dyDescent="0.3">
      <c r="A105" s="2"/>
      <c r="B105" s="453" t="s">
        <v>227</v>
      </c>
      <c r="C105" s="453" t="s">
        <v>228</v>
      </c>
      <c r="D105" s="453" t="s">
        <v>229</v>
      </c>
      <c r="E105" s="454" t="s">
        <v>230</v>
      </c>
      <c r="F105" s="454" t="s">
        <v>231</v>
      </c>
      <c r="G105" s="454" t="s">
        <v>232</v>
      </c>
      <c r="H105" s="454"/>
      <c r="I105" s="454"/>
      <c r="J105" s="454"/>
      <c r="K105" s="454" t="s">
        <v>9</v>
      </c>
      <c r="L105" s="454" t="s">
        <v>292</v>
      </c>
      <c r="M105" s="455" t="s">
        <v>293</v>
      </c>
      <c r="N105" s="453" t="s">
        <v>18</v>
      </c>
      <c r="O105" s="453" t="s">
        <v>297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99999999999999" customHeight="1" x14ac:dyDescent="0.3">
      <c r="A106" s="2"/>
      <c r="B106" s="453"/>
      <c r="C106" s="453"/>
      <c r="D106" s="453"/>
      <c r="E106" s="454"/>
      <c r="F106" s="454"/>
      <c r="G106" s="7" t="s">
        <v>235</v>
      </c>
      <c r="H106" s="6" t="s">
        <v>236</v>
      </c>
      <c r="I106" s="7" t="s">
        <v>235</v>
      </c>
      <c r="J106" s="6" t="s">
        <v>236</v>
      </c>
      <c r="K106" s="454"/>
      <c r="L106" s="454"/>
      <c r="M106" s="454"/>
      <c r="N106" s="454"/>
      <c r="O106" s="454" t="s">
        <v>297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99999999999999" customHeight="1" x14ac:dyDescent="0.3">
      <c r="A107" s="2"/>
      <c r="B107" s="451">
        <v>1</v>
      </c>
      <c r="C107" s="456" t="s">
        <v>276</v>
      </c>
      <c r="D107" s="456"/>
      <c r="E107" s="9" t="s">
        <v>277</v>
      </c>
      <c r="F107" s="6" t="s">
        <v>240</v>
      </c>
      <c r="G107" s="10">
        <v>45138</v>
      </c>
      <c r="H107" s="11">
        <v>21560</v>
      </c>
      <c r="I107" s="10">
        <v>45169</v>
      </c>
      <c r="J107" s="11">
        <v>21570</v>
      </c>
      <c r="K107" s="47">
        <v>1</v>
      </c>
      <c r="L107" s="79">
        <f>J107-H107</f>
        <v>10</v>
      </c>
      <c r="M107" s="82">
        <v>6.6107534365756004</v>
      </c>
      <c r="N107" s="102">
        <f>L107*M107</f>
        <v>66.10753436575601</v>
      </c>
      <c r="O107" s="10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99999999999999" customHeight="1" x14ac:dyDescent="0.3">
      <c r="A108" s="2"/>
      <c r="B108" s="452"/>
      <c r="C108" s="457"/>
      <c r="D108" s="457"/>
      <c r="E108" s="9" t="s">
        <v>278</v>
      </c>
      <c r="F108" s="6" t="s">
        <v>279</v>
      </c>
      <c r="G108" s="10">
        <v>45138</v>
      </c>
      <c r="H108" s="11">
        <v>1604</v>
      </c>
      <c r="I108" s="10">
        <v>45169</v>
      </c>
      <c r="J108" s="11">
        <v>1610</v>
      </c>
      <c r="K108" s="47">
        <v>1</v>
      </c>
      <c r="L108" s="79">
        <f>J108-H108</f>
        <v>6</v>
      </c>
      <c r="M108" s="82">
        <v>30.38</v>
      </c>
      <c r="N108" s="102">
        <f>L108*M108</f>
        <v>182.28</v>
      </c>
      <c r="O108" s="10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99999999999999" customHeight="1" x14ac:dyDescent="0.3">
      <c r="A109" s="2"/>
      <c r="B109" s="6">
        <v>2</v>
      </c>
      <c r="C109" s="93" t="s">
        <v>280</v>
      </c>
      <c r="D109" s="8"/>
      <c r="E109" s="9" t="s">
        <v>281</v>
      </c>
      <c r="F109" s="6" t="s">
        <v>240</v>
      </c>
      <c r="G109" s="10">
        <v>45138</v>
      </c>
      <c r="H109" s="94">
        <v>18931</v>
      </c>
      <c r="I109" s="10">
        <v>45169</v>
      </c>
      <c r="J109" s="94">
        <v>19067</v>
      </c>
      <c r="K109" s="106">
        <v>1</v>
      </c>
      <c r="L109" s="48">
        <f>J109-H109</f>
        <v>136</v>
      </c>
      <c r="M109" s="82">
        <v>6.6107534365756004</v>
      </c>
      <c r="N109" s="103">
        <f>L109*M109</f>
        <v>899.06246737428171</v>
      </c>
      <c r="O109" s="10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99999999999999" customHeight="1" x14ac:dyDescent="0.3">
      <c r="A110" s="2"/>
      <c r="B110" s="6">
        <v>3</v>
      </c>
      <c r="C110" s="93" t="s">
        <v>282</v>
      </c>
      <c r="D110" s="8"/>
      <c r="E110" s="9" t="s">
        <v>283</v>
      </c>
      <c r="F110" s="6" t="s">
        <v>240</v>
      </c>
      <c r="G110" s="10">
        <v>45138</v>
      </c>
      <c r="H110" s="94">
        <v>28181</v>
      </c>
      <c r="I110" s="10">
        <v>45169</v>
      </c>
      <c r="J110" s="94">
        <v>28207</v>
      </c>
      <c r="K110" s="47">
        <v>1</v>
      </c>
      <c r="L110" s="48">
        <f>J110-H110</f>
        <v>26</v>
      </c>
      <c r="M110" s="82">
        <v>6.6107534365756004</v>
      </c>
      <c r="N110" s="103">
        <f>L110*M110</f>
        <v>171.8795893509656</v>
      </c>
      <c r="O110" s="9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99999999999999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99999999999999" customHeight="1" x14ac:dyDescent="0.3">
      <c r="A112" s="2"/>
      <c r="B112" s="458" t="s">
        <v>298</v>
      </c>
      <c r="C112" s="458"/>
      <c r="D112" s="458"/>
      <c r="E112" s="458"/>
      <c r="F112" s="458"/>
      <c r="G112" s="458"/>
      <c r="H112" s="458"/>
      <c r="I112" s="458"/>
      <c r="J112" s="458"/>
      <c r="K112" s="458"/>
      <c r="L112" s="458"/>
      <c r="M112" s="458"/>
      <c r="N112" s="45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99999999999999" customHeight="1" x14ac:dyDescent="0.3">
      <c r="A113" s="2"/>
      <c r="B113" s="459" t="s">
        <v>224</v>
      </c>
      <c r="C113" s="459"/>
      <c r="D113" s="3"/>
      <c r="E113" s="460" t="s">
        <v>275</v>
      </c>
      <c r="F113" s="460"/>
      <c r="G113" s="460"/>
      <c r="H113" s="460"/>
      <c r="I113" s="460"/>
      <c r="J113" s="460"/>
      <c r="K113" s="460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99999999999999" customHeight="1" x14ac:dyDescent="0.3">
      <c r="A114" s="2"/>
      <c r="B114" s="2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99999999999999" customHeight="1" x14ac:dyDescent="0.3">
      <c r="A115" s="2"/>
      <c r="B115" s="453" t="s">
        <v>227</v>
      </c>
      <c r="C115" s="453" t="s">
        <v>228</v>
      </c>
      <c r="D115" s="453" t="s">
        <v>229</v>
      </c>
      <c r="E115" s="454" t="s">
        <v>230</v>
      </c>
      <c r="F115" s="454" t="s">
        <v>231</v>
      </c>
      <c r="G115" s="454" t="s">
        <v>232</v>
      </c>
      <c r="H115" s="454"/>
      <c r="I115" s="454"/>
      <c r="J115" s="454"/>
      <c r="K115" s="454" t="s">
        <v>9</v>
      </c>
      <c r="L115" s="454" t="s">
        <v>292</v>
      </c>
      <c r="M115" s="455" t="s">
        <v>293</v>
      </c>
      <c r="N115" s="453" t="s">
        <v>18</v>
      </c>
      <c r="O115" s="453" t="s">
        <v>297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99999999999999" customHeight="1" x14ac:dyDescent="0.3">
      <c r="A116" s="2"/>
      <c r="B116" s="453"/>
      <c r="C116" s="453"/>
      <c r="D116" s="453"/>
      <c r="E116" s="454"/>
      <c r="F116" s="454"/>
      <c r="G116" s="7" t="s">
        <v>235</v>
      </c>
      <c r="H116" s="6" t="s">
        <v>236</v>
      </c>
      <c r="I116" s="7" t="s">
        <v>235</v>
      </c>
      <c r="J116" s="6" t="s">
        <v>236</v>
      </c>
      <c r="K116" s="454"/>
      <c r="L116" s="454"/>
      <c r="M116" s="454"/>
      <c r="N116" s="454"/>
      <c r="O116" s="454" t="s">
        <v>297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99999999999999" customHeight="1" x14ac:dyDescent="0.3">
      <c r="A117" s="2"/>
      <c r="B117" s="451">
        <v>1</v>
      </c>
      <c r="C117" s="456" t="s">
        <v>276</v>
      </c>
      <c r="D117" s="456"/>
      <c r="E117" s="9" t="s">
        <v>277</v>
      </c>
      <c r="F117" s="6" t="s">
        <v>240</v>
      </c>
      <c r="G117" s="10">
        <v>45169</v>
      </c>
      <c r="H117" s="11">
        <v>21570</v>
      </c>
      <c r="I117" s="10">
        <v>45199</v>
      </c>
      <c r="J117" s="11">
        <v>21574</v>
      </c>
      <c r="K117" s="47">
        <v>1</v>
      </c>
      <c r="L117" s="79">
        <f>J117-H117</f>
        <v>4</v>
      </c>
      <c r="M117" s="82">
        <v>6.3494521898324203</v>
      </c>
      <c r="N117" s="102">
        <f>L117*M117</f>
        <v>25.397808759329681</v>
      </c>
      <c r="O117" s="10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99999999999999" customHeight="1" x14ac:dyDescent="0.3">
      <c r="A118" s="2"/>
      <c r="B118" s="452"/>
      <c r="C118" s="457"/>
      <c r="D118" s="457"/>
      <c r="E118" s="9" t="s">
        <v>278</v>
      </c>
      <c r="F118" s="6" t="s">
        <v>279</v>
      </c>
      <c r="G118" s="10">
        <v>45169</v>
      </c>
      <c r="H118" s="11">
        <v>1610</v>
      </c>
      <c r="I118" s="10">
        <v>45199</v>
      </c>
      <c r="J118" s="11">
        <v>1617</v>
      </c>
      <c r="K118" s="47">
        <v>1</v>
      </c>
      <c r="L118" s="79">
        <f>J118-H118</f>
        <v>7</v>
      </c>
      <c r="M118" s="82">
        <v>30.38</v>
      </c>
      <c r="N118" s="102">
        <f>L118*M118</f>
        <v>212.66</v>
      </c>
      <c r="O118" s="10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99999999999999" customHeight="1" x14ac:dyDescent="0.3">
      <c r="A119" s="2"/>
      <c r="B119" s="6">
        <v>2</v>
      </c>
      <c r="C119" s="93" t="s">
        <v>280</v>
      </c>
      <c r="D119" s="8"/>
      <c r="E119" s="9" t="s">
        <v>281</v>
      </c>
      <c r="F119" s="6" t="s">
        <v>240</v>
      </c>
      <c r="G119" s="10">
        <v>45169</v>
      </c>
      <c r="H119" s="94">
        <v>19067</v>
      </c>
      <c r="I119" s="10">
        <v>45199</v>
      </c>
      <c r="J119" s="94">
        <v>19194</v>
      </c>
      <c r="K119" s="106">
        <v>1</v>
      </c>
      <c r="L119" s="48">
        <f>J119-H119</f>
        <v>127</v>
      </c>
      <c r="M119" s="82">
        <v>6.3494521898324203</v>
      </c>
      <c r="N119" s="103">
        <f>L119*M119</f>
        <v>806.38042810871741</v>
      </c>
      <c r="O119" s="107">
        <v>53.36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99999999999999" customHeight="1" x14ac:dyDescent="0.3">
      <c r="A120" s="2"/>
      <c r="B120" s="6">
        <v>3</v>
      </c>
      <c r="C120" s="93" t="s">
        <v>282</v>
      </c>
      <c r="D120" s="8"/>
      <c r="E120" s="9" t="s">
        <v>283</v>
      </c>
      <c r="F120" s="6" t="s">
        <v>240</v>
      </c>
      <c r="G120" s="10">
        <v>45169</v>
      </c>
      <c r="H120" s="94">
        <v>28207</v>
      </c>
      <c r="I120" s="10">
        <v>45199</v>
      </c>
      <c r="J120" s="94">
        <v>28231</v>
      </c>
      <c r="K120" s="47">
        <v>1</v>
      </c>
      <c r="L120" s="48">
        <f>J120-H120</f>
        <v>24</v>
      </c>
      <c r="M120" s="82">
        <v>6.3494521898324203</v>
      </c>
      <c r="N120" s="103">
        <f>L120*M120</f>
        <v>152.38685255597809</v>
      </c>
      <c r="O120" s="9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99999999999999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8">
        <f>N119+N130-O119</f>
        <v>1573.8273217257392</v>
      </c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99999999999999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99999999999999" customHeight="1" x14ac:dyDescent="0.3">
      <c r="A123" s="2"/>
      <c r="B123" s="458" t="s">
        <v>245</v>
      </c>
      <c r="C123" s="458"/>
      <c r="D123" s="458"/>
      <c r="E123" s="458"/>
      <c r="F123" s="458"/>
      <c r="G123" s="458"/>
      <c r="H123" s="458"/>
      <c r="I123" s="458"/>
      <c r="J123" s="458"/>
      <c r="K123" s="458"/>
      <c r="L123" s="458"/>
      <c r="M123" s="458"/>
      <c r="N123" s="45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99999999999999" customHeight="1" x14ac:dyDescent="0.3">
      <c r="A124" s="2"/>
      <c r="B124" s="459" t="s">
        <v>224</v>
      </c>
      <c r="C124" s="459"/>
      <c r="D124" s="3"/>
      <c r="E124" s="460" t="s">
        <v>275</v>
      </c>
      <c r="F124" s="460"/>
      <c r="G124" s="460"/>
      <c r="H124" s="460"/>
      <c r="I124" s="460"/>
      <c r="J124" s="460"/>
      <c r="K124" s="460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99999999999999" customHeight="1" x14ac:dyDescent="0.3">
      <c r="A125" s="2"/>
      <c r="B125" s="2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99999999999999" customHeight="1" x14ac:dyDescent="0.3">
      <c r="A126" s="2"/>
      <c r="B126" s="453" t="s">
        <v>227</v>
      </c>
      <c r="C126" s="453" t="s">
        <v>228</v>
      </c>
      <c r="D126" s="453" t="s">
        <v>229</v>
      </c>
      <c r="E126" s="454" t="s">
        <v>230</v>
      </c>
      <c r="F126" s="454" t="s">
        <v>231</v>
      </c>
      <c r="G126" s="454" t="s">
        <v>232</v>
      </c>
      <c r="H126" s="454"/>
      <c r="I126" s="454"/>
      <c r="J126" s="454"/>
      <c r="K126" s="454" t="s">
        <v>9</v>
      </c>
      <c r="L126" s="454" t="s">
        <v>292</v>
      </c>
      <c r="M126" s="455" t="s">
        <v>293</v>
      </c>
      <c r="N126" s="453" t="s">
        <v>18</v>
      </c>
      <c r="O126" s="453" t="s">
        <v>297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99999999999999" customHeight="1" x14ac:dyDescent="0.3">
      <c r="A127" s="2"/>
      <c r="B127" s="453"/>
      <c r="C127" s="453"/>
      <c r="D127" s="453"/>
      <c r="E127" s="454"/>
      <c r="F127" s="454"/>
      <c r="G127" s="7" t="s">
        <v>235</v>
      </c>
      <c r="H127" s="6" t="s">
        <v>236</v>
      </c>
      <c r="I127" s="7" t="s">
        <v>235</v>
      </c>
      <c r="J127" s="6" t="s">
        <v>236</v>
      </c>
      <c r="K127" s="454"/>
      <c r="L127" s="454"/>
      <c r="M127" s="454"/>
      <c r="N127" s="454"/>
      <c r="O127" s="454" t="s">
        <v>297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99999999999999" customHeight="1" x14ac:dyDescent="0.3">
      <c r="A128" s="2"/>
      <c r="B128" s="451">
        <v>1</v>
      </c>
      <c r="C128" s="456" t="s">
        <v>276</v>
      </c>
      <c r="D128" s="456"/>
      <c r="E128" s="9" t="s">
        <v>277</v>
      </c>
      <c r="F128" s="6" t="s">
        <v>240</v>
      </c>
      <c r="G128" s="10">
        <v>45199</v>
      </c>
      <c r="H128" s="11">
        <v>21574</v>
      </c>
      <c r="I128" s="10">
        <v>45230</v>
      </c>
      <c r="J128" s="11">
        <v>21590</v>
      </c>
      <c r="K128" s="47">
        <v>1</v>
      </c>
      <c r="L128" s="79">
        <f>J128-H128</f>
        <v>16</v>
      </c>
      <c r="M128" s="82">
        <v>6.3628441365660597</v>
      </c>
      <c r="N128" s="102">
        <f>L128*M128</f>
        <v>101.80550618505696</v>
      </c>
      <c r="O128" s="10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99999999999999" customHeight="1" x14ac:dyDescent="0.3">
      <c r="A129" s="2"/>
      <c r="B129" s="452"/>
      <c r="C129" s="457"/>
      <c r="D129" s="457"/>
      <c r="E129" s="9" t="s">
        <v>278</v>
      </c>
      <c r="F129" s="6" t="s">
        <v>279</v>
      </c>
      <c r="G129" s="10">
        <v>45199</v>
      </c>
      <c r="H129" s="11">
        <v>1617</v>
      </c>
      <c r="I129" s="10">
        <v>45230</v>
      </c>
      <c r="J129" s="11">
        <v>1623</v>
      </c>
      <c r="K129" s="47">
        <v>1</v>
      </c>
      <c r="L129" s="79">
        <f>J129-H129</f>
        <v>6</v>
      </c>
      <c r="M129" s="82">
        <v>30.38</v>
      </c>
      <c r="N129" s="102">
        <f>L129*M129</f>
        <v>182.28</v>
      </c>
      <c r="O129" s="10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99999999999999" customHeight="1" x14ac:dyDescent="0.3">
      <c r="A130" s="2"/>
      <c r="B130" s="6">
        <v>2</v>
      </c>
      <c r="C130" s="93" t="s">
        <v>280</v>
      </c>
      <c r="D130" s="8"/>
      <c r="E130" s="9" t="s">
        <v>281</v>
      </c>
      <c r="F130" s="6" t="s">
        <v>240</v>
      </c>
      <c r="G130" s="10">
        <v>45199</v>
      </c>
      <c r="H130" s="94">
        <v>19194</v>
      </c>
      <c r="I130" s="10">
        <v>45230</v>
      </c>
      <c r="J130" s="94">
        <v>19323</v>
      </c>
      <c r="K130" s="106">
        <v>1</v>
      </c>
      <c r="L130" s="48">
        <f>J130-H130</f>
        <v>129</v>
      </c>
      <c r="M130" s="82">
        <v>6.3628441365660597</v>
      </c>
      <c r="N130" s="103">
        <f>L130*M130</f>
        <v>820.80689361702173</v>
      </c>
      <c r="O130" s="10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99999999999999" customHeight="1" x14ac:dyDescent="0.3">
      <c r="A131" s="2"/>
      <c r="B131" s="6">
        <v>3</v>
      </c>
      <c r="C131" s="93" t="s">
        <v>282</v>
      </c>
      <c r="D131" s="8"/>
      <c r="E131" s="9" t="s">
        <v>283</v>
      </c>
      <c r="F131" s="6" t="s">
        <v>240</v>
      </c>
      <c r="G131" s="10">
        <v>45199</v>
      </c>
      <c r="H131" s="94">
        <v>28231</v>
      </c>
      <c r="I131" s="10">
        <v>45230</v>
      </c>
      <c r="J131" s="94">
        <v>28249</v>
      </c>
      <c r="K131" s="47">
        <v>1</v>
      </c>
      <c r="L131" s="48">
        <f>J131-H131</f>
        <v>18</v>
      </c>
      <c r="M131" s="82">
        <v>6.3628441365660597</v>
      </c>
      <c r="N131" s="103">
        <f>L131*M131</f>
        <v>114.53119445818908</v>
      </c>
      <c r="O131" s="9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99999999999999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99999999999999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99999999999999" hidden="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09" t="s">
        <v>299</v>
      </c>
      <c r="N134" s="110">
        <f>N130+N119-O119</f>
        <v>1573.8273217257392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99999999999999" customHeight="1" x14ac:dyDescent="0.3">
      <c r="A135" s="2"/>
      <c r="B135" s="458" t="s">
        <v>246</v>
      </c>
      <c r="C135" s="458"/>
      <c r="D135" s="458"/>
      <c r="E135" s="458"/>
      <c r="F135" s="458"/>
      <c r="G135" s="458"/>
      <c r="H135" s="458"/>
      <c r="I135" s="458"/>
      <c r="J135" s="458"/>
      <c r="K135" s="458"/>
      <c r="L135" s="458"/>
      <c r="M135" s="458"/>
      <c r="N135" s="45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99999999999999" customHeight="1" x14ac:dyDescent="0.3">
      <c r="A136" s="2"/>
      <c r="B136" s="459" t="s">
        <v>224</v>
      </c>
      <c r="C136" s="459"/>
      <c r="D136" s="3"/>
      <c r="E136" s="460" t="s">
        <v>275</v>
      </c>
      <c r="F136" s="460"/>
      <c r="G136" s="460"/>
      <c r="H136" s="460"/>
      <c r="I136" s="460"/>
      <c r="J136" s="460"/>
      <c r="K136" s="460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99999999999999" customHeight="1" x14ac:dyDescent="0.3">
      <c r="A137" s="2"/>
      <c r="B137" s="2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99999999999999" customHeight="1" x14ac:dyDescent="0.3">
      <c r="A138" s="2"/>
      <c r="B138" s="453" t="s">
        <v>227</v>
      </c>
      <c r="C138" s="453" t="s">
        <v>228</v>
      </c>
      <c r="D138" s="453" t="s">
        <v>229</v>
      </c>
      <c r="E138" s="454" t="s">
        <v>230</v>
      </c>
      <c r="F138" s="454" t="s">
        <v>231</v>
      </c>
      <c r="G138" s="454" t="s">
        <v>232</v>
      </c>
      <c r="H138" s="454"/>
      <c r="I138" s="454"/>
      <c r="J138" s="454"/>
      <c r="K138" s="454" t="s">
        <v>9</v>
      </c>
      <c r="L138" s="454" t="s">
        <v>292</v>
      </c>
      <c r="M138" s="455" t="s">
        <v>293</v>
      </c>
      <c r="N138" s="453" t="s">
        <v>18</v>
      </c>
      <c r="O138" s="453" t="s">
        <v>297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99999999999999" customHeight="1" x14ac:dyDescent="0.3">
      <c r="A139" s="2"/>
      <c r="B139" s="453"/>
      <c r="C139" s="453"/>
      <c r="D139" s="453"/>
      <c r="E139" s="454"/>
      <c r="F139" s="454"/>
      <c r="G139" s="7" t="s">
        <v>235</v>
      </c>
      <c r="H139" s="6" t="s">
        <v>236</v>
      </c>
      <c r="I139" s="7" t="s">
        <v>235</v>
      </c>
      <c r="J139" s="6" t="s">
        <v>236</v>
      </c>
      <c r="K139" s="454"/>
      <c r="L139" s="454"/>
      <c r="M139" s="454"/>
      <c r="N139" s="454"/>
      <c r="O139" s="454" t="s">
        <v>297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99999999999999" customHeight="1" x14ac:dyDescent="0.3">
      <c r="A140" s="2"/>
      <c r="B140" s="451">
        <v>1</v>
      </c>
      <c r="C140" s="456" t="s">
        <v>276</v>
      </c>
      <c r="D140" s="456"/>
      <c r="E140" s="9" t="s">
        <v>277</v>
      </c>
      <c r="F140" s="6" t="s">
        <v>240</v>
      </c>
      <c r="G140" s="10">
        <v>45230</v>
      </c>
      <c r="H140" s="11">
        <v>21590</v>
      </c>
      <c r="I140" s="10">
        <v>45260</v>
      </c>
      <c r="J140" s="11">
        <v>21616</v>
      </c>
      <c r="K140" s="47">
        <v>1</v>
      </c>
      <c r="L140" s="79">
        <f>J140-H140</f>
        <v>26</v>
      </c>
      <c r="M140" s="82">
        <v>6.7715878881473701</v>
      </c>
      <c r="N140" s="102">
        <f>L140*M140</f>
        <v>176.06128509183162</v>
      </c>
      <c r="O140" s="10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99999999999999" customHeight="1" x14ac:dyDescent="0.3">
      <c r="A141" s="2"/>
      <c r="B141" s="452"/>
      <c r="C141" s="457"/>
      <c r="D141" s="457"/>
      <c r="E141" s="9" t="s">
        <v>278</v>
      </c>
      <c r="F141" s="6" t="s">
        <v>279</v>
      </c>
      <c r="G141" s="10">
        <v>45230</v>
      </c>
      <c r="H141" s="11">
        <v>1623</v>
      </c>
      <c r="I141" s="10">
        <v>45260</v>
      </c>
      <c r="J141" s="11">
        <v>1631.13</v>
      </c>
      <c r="K141" s="47">
        <v>1</v>
      </c>
      <c r="L141" s="79">
        <f>J141-H141</f>
        <v>8.1300000000001091</v>
      </c>
      <c r="M141" s="82">
        <v>30.38</v>
      </c>
      <c r="N141" s="102">
        <f>L141*M141</f>
        <v>246.98940000000331</v>
      </c>
      <c r="O141" s="10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99999999999999" customHeight="1" x14ac:dyDescent="0.3">
      <c r="A142" s="2"/>
      <c r="B142" s="6">
        <v>2</v>
      </c>
      <c r="C142" s="93" t="s">
        <v>280</v>
      </c>
      <c r="D142" s="8"/>
      <c r="E142" s="9" t="s">
        <v>281</v>
      </c>
      <c r="F142" s="6" t="s">
        <v>240</v>
      </c>
      <c r="G142" s="10">
        <v>45230</v>
      </c>
      <c r="H142" s="94">
        <v>19323</v>
      </c>
      <c r="I142" s="10">
        <v>45260</v>
      </c>
      <c r="J142" s="94">
        <v>19457</v>
      </c>
      <c r="K142" s="106">
        <v>1</v>
      </c>
      <c r="L142" s="48">
        <f>J142-H142</f>
        <v>134</v>
      </c>
      <c r="M142" s="82">
        <f>M140</f>
        <v>6.7715878881473701</v>
      </c>
      <c r="N142" s="103">
        <f>L142*M142</f>
        <v>907.39277701174763</v>
      </c>
      <c r="O142" s="10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99999999999999" customHeight="1" x14ac:dyDescent="0.3">
      <c r="A143" s="2"/>
      <c r="B143" s="6">
        <v>3</v>
      </c>
      <c r="C143" s="93" t="s">
        <v>282</v>
      </c>
      <c r="D143" s="8"/>
      <c r="E143" s="9" t="s">
        <v>283</v>
      </c>
      <c r="F143" s="6" t="s">
        <v>240</v>
      </c>
      <c r="G143" s="10">
        <v>45230</v>
      </c>
      <c r="H143" s="94">
        <v>28249</v>
      </c>
      <c r="I143" s="10">
        <v>45260</v>
      </c>
      <c r="J143" s="94">
        <v>28268</v>
      </c>
      <c r="K143" s="47">
        <v>1</v>
      </c>
      <c r="L143" s="48">
        <f>J143-H143</f>
        <v>19</v>
      </c>
      <c r="M143" s="82">
        <f>M142</f>
        <v>6.7715878881473701</v>
      </c>
      <c r="N143" s="103">
        <f>L143*M143</f>
        <v>128.66016987480003</v>
      </c>
      <c r="O143" s="9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99999999999999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8.9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11" t="s">
        <v>280</v>
      </c>
      <c r="N145" s="103">
        <f>SUM(N142+N130)</f>
        <v>1728.1996706287694</v>
      </c>
      <c r="O145" s="103">
        <v>2000</v>
      </c>
      <c r="P145" s="108">
        <f>O145-N145</f>
        <v>271.80032937123065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99999999999999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11" t="s">
        <v>276</v>
      </c>
      <c r="N146" s="103">
        <f>SUM(N140)</f>
        <v>176.06128509183162</v>
      </c>
      <c r="O146" s="10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99999999999999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11"/>
      <c r="N147" s="103">
        <f>N141</f>
        <v>246.98940000000331</v>
      </c>
      <c r="O147" s="10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99999999999999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99999999999999" customHeight="1" x14ac:dyDescent="0.3">
      <c r="A149" s="2"/>
      <c r="B149" s="458" t="s">
        <v>248</v>
      </c>
      <c r="C149" s="458"/>
      <c r="D149" s="458"/>
      <c r="E149" s="458"/>
      <c r="F149" s="458"/>
      <c r="G149" s="458"/>
      <c r="H149" s="458"/>
      <c r="I149" s="458"/>
      <c r="J149" s="458"/>
      <c r="K149" s="458"/>
      <c r="L149" s="458"/>
      <c r="M149" s="458"/>
      <c r="N149" s="45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99999999999999" customHeight="1" x14ac:dyDescent="0.3">
      <c r="A150" s="2"/>
      <c r="B150" s="459" t="s">
        <v>224</v>
      </c>
      <c r="C150" s="459"/>
      <c r="D150" s="3"/>
      <c r="E150" s="460" t="s">
        <v>275</v>
      </c>
      <c r="F150" s="460"/>
      <c r="G150" s="460"/>
      <c r="H150" s="460"/>
      <c r="I150" s="460"/>
      <c r="J150" s="460"/>
      <c r="K150" s="460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99999999999999" customHeight="1" x14ac:dyDescent="0.3">
      <c r="A151" s="2"/>
      <c r="B151" s="2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99999999999999" customHeight="1" x14ac:dyDescent="0.3">
      <c r="A152" s="2"/>
      <c r="B152" s="453" t="s">
        <v>227</v>
      </c>
      <c r="C152" s="453" t="s">
        <v>228</v>
      </c>
      <c r="D152" s="453" t="s">
        <v>229</v>
      </c>
      <c r="E152" s="454" t="s">
        <v>230</v>
      </c>
      <c r="F152" s="454" t="s">
        <v>231</v>
      </c>
      <c r="G152" s="454" t="s">
        <v>232</v>
      </c>
      <c r="H152" s="454"/>
      <c r="I152" s="454"/>
      <c r="J152" s="454"/>
      <c r="K152" s="454" t="s">
        <v>9</v>
      </c>
      <c r="L152" s="454" t="s">
        <v>292</v>
      </c>
      <c r="M152" s="455" t="s">
        <v>293</v>
      </c>
      <c r="N152" s="453" t="s">
        <v>18</v>
      </c>
      <c r="O152" s="453" t="s">
        <v>297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99999999999999" customHeight="1" x14ac:dyDescent="0.3">
      <c r="A153" s="2"/>
      <c r="B153" s="453"/>
      <c r="C153" s="453"/>
      <c r="D153" s="453"/>
      <c r="E153" s="454"/>
      <c r="F153" s="454"/>
      <c r="G153" s="7" t="s">
        <v>235</v>
      </c>
      <c r="H153" s="6" t="s">
        <v>236</v>
      </c>
      <c r="I153" s="7" t="s">
        <v>235</v>
      </c>
      <c r="J153" s="6" t="s">
        <v>236</v>
      </c>
      <c r="K153" s="454"/>
      <c r="L153" s="454"/>
      <c r="M153" s="454"/>
      <c r="N153" s="454"/>
      <c r="O153" s="454" t="s">
        <v>297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99999999999999" customHeight="1" x14ac:dyDescent="0.3">
      <c r="A154" s="2"/>
      <c r="B154" s="451">
        <v>1</v>
      </c>
      <c r="C154" s="456" t="s">
        <v>276</v>
      </c>
      <c r="D154" s="456"/>
      <c r="E154" s="9" t="s">
        <v>277</v>
      </c>
      <c r="F154" s="6" t="s">
        <v>240</v>
      </c>
      <c r="G154" s="10">
        <v>45260</v>
      </c>
      <c r="H154" s="11">
        <v>21616</v>
      </c>
      <c r="I154" s="10">
        <v>45291</v>
      </c>
      <c r="J154" s="89"/>
      <c r="K154" s="47">
        <v>1</v>
      </c>
      <c r="L154" s="79">
        <f>J154-H154</f>
        <v>-21616</v>
      </c>
      <c r="M154" s="82">
        <v>6.0270000000000001</v>
      </c>
      <c r="N154" s="102">
        <f>L154*M154</f>
        <v>-130279.632</v>
      </c>
      <c r="O154" s="10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99999999999999" customHeight="1" x14ac:dyDescent="0.3">
      <c r="A155" s="2"/>
      <c r="B155" s="452"/>
      <c r="C155" s="457"/>
      <c r="D155" s="457"/>
      <c r="E155" s="9" t="s">
        <v>278</v>
      </c>
      <c r="F155" s="6" t="s">
        <v>279</v>
      </c>
      <c r="G155" s="10">
        <v>45260</v>
      </c>
      <c r="H155" s="11">
        <v>1631.13</v>
      </c>
      <c r="I155" s="10">
        <v>45291</v>
      </c>
      <c r="J155" s="89"/>
      <c r="K155" s="47">
        <v>1</v>
      </c>
      <c r="L155" s="79">
        <f>J155-H155</f>
        <v>-1631.13</v>
      </c>
      <c r="M155" s="82">
        <v>30.38</v>
      </c>
      <c r="N155" s="102">
        <f>L155*M155</f>
        <v>-49553.729400000004</v>
      </c>
      <c r="O155" s="10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99999999999999" customHeight="1" x14ac:dyDescent="0.3">
      <c r="A156" s="2"/>
      <c r="B156" s="6">
        <v>2</v>
      </c>
      <c r="C156" s="93" t="s">
        <v>280</v>
      </c>
      <c r="D156" s="8"/>
      <c r="E156" s="9" t="s">
        <v>281</v>
      </c>
      <c r="F156" s="6" t="s">
        <v>240</v>
      </c>
      <c r="G156" s="10">
        <v>45260</v>
      </c>
      <c r="H156" s="94">
        <v>19457</v>
      </c>
      <c r="I156" s="10">
        <v>45291</v>
      </c>
      <c r="J156" s="94">
        <v>19587</v>
      </c>
      <c r="K156" s="106">
        <v>1</v>
      </c>
      <c r="L156" s="48">
        <f>J156-H156</f>
        <v>130</v>
      </c>
      <c r="M156" s="82">
        <f>M154</f>
        <v>6.0270000000000001</v>
      </c>
      <c r="N156" s="103">
        <f>L156*M156</f>
        <v>783.51</v>
      </c>
      <c r="O156" s="10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99999999999999" customHeight="1" x14ac:dyDescent="0.3">
      <c r="A157" s="2"/>
      <c r="B157" s="6">
        <v>3</v>
      </c>
      <c r="C157" s="93" t="s">
        <v>282</v>
      </c>
      <c r="D157" s="8"/>
      <c r="E157" s="9" t="s">
        <v>283</v>
      </c>
      <c r="F157" s="6" t="s">
        <v>240</v>
      </c>
      <c r="G157" s="10">
        <v>45260</v>
      </c>
      <c r="H157" s="94">
        <v>28268</v>
      </c>
      <c r="I157" s="10">
        <v>45291</v>
      </c>
      <c r="J157" s="11">
        <v>28278</v>
      </c>
      <c r="K157" s="47">
        <v>1</v>
      </c>
      <c r="L157" s="48">
        <f>J157-H157</f>
        <v>10</v>
      </c>
      <c r="M157" s="82">
        <f>M156</f>
        <v>6.0270000000000001</v>
      </c>
      <c r="N157" s="103">
        <f>L157*M157</f>
        <v>60.27</v>
      </c>
      <c r="O157" s="9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99999999999999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99999999999999" customHeight="1" x14ac:dyDescent="0.3">
      <c r="A159" s="2"/>
      <c r="B159" s="458" t="s">
        <v>300</v>
      </c>
      <c r="C159" s="458"/>
      <c r="D159" s="458"/>
      <c r="E159" s="458"/>
      <c r="F159" s="458"/>
      <c r="G159" s="458"/>
      <c r="H159" s="458"/>
      <c r="I159" s="458"/>
      <c r="J159" s="458"/>
      <c r="K159" s="458"/>
      <c r="L159" s="458"/>
      <c r="M159" s="458"/>
      <c r="N159" s="45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99999999999999" customHeight="1" x14ac:dyDescent="0.3">
      <c r="A160" s="2"/>
      <c r="B160" s="459" t="s">
        <v>224</v>
      </c>
      <c r="C160" s="459"/>
      <c r="D160" s="3"/>
      <c r="E160" s="460" t="s">
        <v>275</v>
      </c>
      <c r="F160" s="460"/>
      <c r="G160" s="460"/>
      <c r="H160" s="460"/>
      <c r="I160" s="460"/>
      <c r="J160" s="460"/>
      <c r="K160" s="460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99999999999999" customHeight="1" x14ac:dyDescent="0.3">
      <c r="A161" s="2"/>
      <c r="B161" s="2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99999999999999" customHeight="1" x14ac:dyDescent="0.3">
      <c r="A162" s="2"/>
      <c r="B162" s="453" t="s">
        <v>227</v>
      </c>
      <c r="C162" s="453" t="s">
        <v>228</v>
      </c>
      <c r="D162" s="453" t="s">
        <v>229</v>
      </c>
      <c r="E162" s="454" t="s">
        <v>230</v>
      </c>
      <c r="F162" s="454" t="s">
        <v>231</v>
      </c>
      <c r="G162" s="454" t="s">
        <v>232</v>
      </c>
      <c r="H162" s="454"/>
      <c r="I162" s="454"/>
      <c r="J162" s="454"/>
      <c r="K162" s="454" t="s">
        <v>9</v>
      </c>
      <c r="L162" s="454" t="s">
        <v>292</v>
      </c>
      <c r="M162" s="455" t="s">
        <v>293</v>
      </c>
      <c r="N162" s="453" t="s">
        <v>18</v>
      </c>
      <c r="O162" s="453" t="s">
        <v>297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99999999999999" customHeight="1" x14ac:dyDescent="0.3">
      <c r="A163" s="2"/>
      <c r="B163" s="453"/>
      <c r="C163" s="453"/>
      <c r="D163" s="453"/>
      <c r="E163" s="454"/>
      <c r="F163" s="454"/>
      <c r="G163" s="7" t="s">
        <v>235</v>
      </c>
      <c r="H163" s="6" t="s">
        <v>236</v>
      </c>
      <c r="I163" s="7" t="s">
        <v>235</v>
      </c>
      <c r="J163" s="6" t="s">
        <v>236</v>
      </c>
      <c r="K163" s="454"/>
      <c r="L163" s="454"/>
      <c r="M163" s="454"/>
      <c r="N163" s="454"/>
      <c r="O163" s="454" t="s">
        <v>297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99999999999999" customHeight="1" x14ac:dyDescent="0.3">
      <c r="A164" s="2"/>
      <c r="B164" s="451">
        <v>1</v>
      </c>
      <c r="C164" s="456" t="s">
        <v>276</v>
      </c>
      <c r="D164" s="456"/>
      <c r="E164" s="9" t="s">
        <v>277</v>
      </c>
      <c r="F164" s="6" t="s">
        <v>240</v>
      </c>
      <c r="G164" s="10">
        <v>45260</v>
      </c>
      <c r="H164" s="11">
        <v>21616</v>
      </c>
      <c r="I164" s="10">
        <v>45351</v>
      </c>
      <c r="J164" s="89">
        <v>21741</v>
      </c>
      <c r="K164" s="47">
        <v>1</v>
      </c>
      <c r="L164" s="79">
        <f>J164-H164</f>
        <v>125</v>
      </c>
      <c r="M164" s="82">
        <v>5.4806879918473603</v>
      </c>
      <c r="N164" s="102">
        <f>L164*M164</f>
        <v>685.08599898092007</v>
      </c>
      <c r="O164" s="10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99999999999999" customHeight="1" x14ac:dyDescent="0.3">
      <c r="A165" s="2"/>
      <c r="B165" s="452"/>
      <c r="C165" s="457"/>
      <c r="D165" s="457"/>
      <c r="E165" s="9" t="s">
        <v>278</v>
      </c>
      <c r="F165" s="6" t="s">
        <v>279</v>
      </c>
      <c r="G165" s="10">
        <v>45260</v>
      </c>
      <c r="H165" s="11">
        <v>1631.13</v>
      </c>
      <c r="I165" s="10">
        <v>45351</v>
      </c>
      <c r="J165" s="89">
        <v>1653.69</v>
      </c>
      <c r="K165" s="47">
        <v>1</v>
      </c>
      <c r="L165" s="79">
        <f>J165-H165</f>
        <v>22.559999999999945</v>
      </c>
      <c r="M165" s="82">
        <v>30.38</v>
      </c>
      <c r="N165" s="102">
        <f>L165*M165</f>
        <v>685.37279999999828</v>
      </c>
      <c r="O165" s="10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99999999999999" customHeight="1" x14ac:dyDescent="0.3">
      <c r="A166" s="2"/>
      <c r="B166" s="6">
        <v>2</v>
      </c>
      <c r="C166" s="93" t="s">
        <v>280</v>
      </c>
      <c r="D166" s="8"/>
      <c r="E166" s="9" t="s">
        <v>281</v>
      </c>
      <c r="F166" s="6" t="s">
        <v>240</v>
      </c>
      <c r="G166" s="10">
        <v>45291</v>
      </c>
      <c r="H166" s="94">
        <v>19587</v>
      </c>
      <c r="I166" s="10">
        <v>45351</v>
      </c>
      <c r="J166" s="94">
        <v>19858</v>
      </c>
      <c r="K166" s="106">
        <v>1</v>
      </c>
      <c r="L166" s="48">
        <f>J166-H166</f>
        <v>271</v>
      </c>
      <c r="M166" s="82">
        <f>M164</f>
        <v>5.4806879918473603</v>
      </c>
      <c r="N166" s="103">
        <f>L166*M166</f>
        <v>1485.2664457906346</v>
      </c>
      <c r="O166" s="10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99999999999999" customHeight="1" x14ac:dyDescent="0.3">
      <c r="A167" s="2"/>
      <c r="B167" s="6">
        <v>3</v>
      </c>
      <c r="C167" s="93" t="s">
        <v>282</v>
      </c>
      <c r="D167" s="8"/>
      <c r="E167" s="9" t="s">
        <v>283</v>
      </c>
      <c r="F167" s="6" t="s">
        <v>240</v>
      </c>
      <c r="G167" s="10">
        <v>45291</v>
      </c>
      <c r="H167" s="11">
        <v>28278</v>
      </c>
      <c r="I167" s="10">
        <v>45351</v>
      </c>
      <c r="J167" s="11">
        <v>28307</v>
      </c>
      <c r="K167" s="47">
        <v>1</v>
      </c>
      <c r="L167" s="48">
        <f>J167-H167</f>
        <v>29</v>
      </c>
      <c r="M167" s="82">
        <f>M166</f>
        <v>5.4806879918473603</v>
      </c>
      <c r="N167" s="103">
        <f>L167*M167</f>
        <v>158.93995176357345</v>
      </c>
      <c r="O167" s="9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99999999999999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99999999999999" customHeight="1" x14ac:dyDescent="0.3">
      <c r="A169" s="2"/>
      <c r="B169" s="458" t="s">
        <v>301</v>
      </c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99999999999999" customHeight="1" x14ac:dyDescent="0.3">
      <c r="A170" s="2"/>
      <c r="B170" s="459" t="s">
        <v>224</v>
      </c>
      <c r="C170" s="459"/>
      <c r="D170" s="3"/>
      <c r="E170" s="460" t="s">
        <v>275</v>
      </c>
      <c r="F170" s="460"/>
      <c r="G170" s="460"/>
      <c r="H170" s="460"/>
      <c r="I170" s="460"/>
      <c r="J170" s="460"/>
      <c r="K170" s="460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99999999999999" customHeight="1" x14ac:dyDescent="0.3">
      <c r="A171" s="2"/>
      <c r="B171" s="2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99999999999999" customHeight="1" x14ac:dyDescent="0.3">
      <c r="A172" s="2"/>
      <c r="B172" s="453" t="s">
        <v>227</v>
      </c>
      <c r="C172" s="453" t="s">
        <v>228</v>
      </c>
      <c r="D172" s="453" t="s">
        <v>229</v>
      </c>
      <c r="E172" s="454" t="s">
        <v>230</v>
      </c>
      <c r="F172" s="454" t="s">
        <v>231</v>
      </c>
      <c r="G172" s="454" t="s">
        <v>232</v>
      </c>
      <c r="H172" s="454"/>
      <c r="I172" s="454"/>
      <c r="J172" s="454"/>
      <c r="K172" s="454" t="s">
        <v>9</v>
      </c>
      <c r="L172" s="454" t="s">
        <v>292</v>
      </c>
      <c r="M172" s="455" t="s">
        <v>293</v>
      </c>
      <c r="N172" s="453" t="s">
        <v>18</v>
      </c>
      <c r="O172" s="453" t="s">
        <v>297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99999999999999" customHeight="1" x14ac:dyDescent="0.3">
      <c r="A173" s="2"/>
      <c r="B173" s="453"/>
      <c r="C173" s="453"/>
      <c r="D173" s="453"/>
      <c r="E173" s="454"/>
      <c r="F173" s="454"/>
      <c r="G173" s="7" t="s">
        <v>235</v>
      </c>
      <c r="H173" s="6" t="s">
        <v>236</v>
      </c>
      <c r="I173" s="7" t="s">
        <v>235</v>
      </c>
      <c r="J173" s="6" t="s">
        <v>236</v>
      </c>
      <c r="K173" s="454"/>
      <c r="L173" s="454"/>
      <c r="M173" s="454"/>
      <c r="N173" s="454"/>
      <c r="O173" s="454" t="s">
        <v>297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99999999999999" customHeight="1" x14ac:dyDescent="0.3">
      <c r="A174" s="2"/>
      <c r="B174" s="451">
        <v>1</v>
      </c>
      <c r="C174" s="456" t="s">
        <v>276</v>
      </c>
      <c r="D174" s="456"/>
      <c r="E174" s="9" t="s">
        <v>277</v>
      </c>
      <c r="F174" s="6" t="s">
        <v>240</v>
      </c>
      <c r="G174" s="10">
        <v>45351</v>
      </c>
      <c r="H174" s="89">
        <v>21741</v>
      </c>
      <c r="I174" s="10">
        <v>45322</v>
      </c>
      <c r="J174" s="89"/>
      <c r="K174" s="47">
        <v>1</v>
      </c>
      <c r="L174" s="79">
        <f>J174-H174</f>
        <v>-21741</v>
      </c>
      <c r="M174" s="82">
        <v>5.2738675143327498</v>
      </c>
      <c r="N174" s="102">
        <f>L174*M174</f>
        <v>-114659.15362910832</v>
      </c>
      <c r="O174" s="10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99999999999999" customHeight="1" x14ac:dyDescent="0.3">
      <c r="A175" s="2"/>
      <c r="B175" s="452"/>
      <c r="C175" s="457"/>
      <c r="D175" s="457"/>
      <c r="E175" s="9" t="s">
        <v>278</v>
      </c>
      <c r="F175" s="6" t="s">
        <v>279</v>
      </c>
      <c r="G175" s="10">
        <v>45351</v>
      </c>
      <c r="H175" s="89">
        <v>1653.69</v>
      </c>
      <c r="I175" s="10">
        <v>45322</v>
      </c>
      <c r="J175" s="89"/>
      <c r="K175" s="47">
        <v>1</v>
      </c>
      <c r="L175" s="79">
        <f>J175-H175</f>
        <v>-1653.69</v>
      </c>
      <c r="M175" s="82">
        <v>30.38</v>
      </c>
      <c r="N175" s="102">
        <f>L175*M175</f>
        <v>-50239.102200000001</v>
      </c>
      <c r="O175" s="10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99999999999999" customHeight="1" x14ac:dyDescent="0.3">
      <c r="A176" s="2"/>
      <c r="B176" s="6">
        <v>2</v>
      </c>
      <c r="C176" s="93" t="s">
        <v>280</v>
      </c>
      <c r="D176" s="8"/>
      <c r="E176" s="9" t="s">
        <v>281</v>
      </c>
      <c r="F176" s="6" t="s">
        <v>240</v>
      </c>
      <c r="G176" s="10">
        <v>45351</v>
      </c>
      <c r="H176" s="94">
        <v>19858</v>
      </c>
      <c r="I176" s="10">
        <v>45322</v>
      </c>
      <c r="J176" s="94">
        <v>19987</v>
      </c>
      <c r="K176" s="106">
        <v>1</v>
      </c>
      <c r="L176" s="48">
        <f>J176-H176</f>
        <v>129</v>
      </c>
      <c r="M176" s="82">
        <f>M174</f>
        <v>5.2738675143327498</v>
      </c>
      <c r="N176" s="103">
        <f>L176*M176</f>
        <v>680.32890934892475</v>
      </c>
      <c r="O176" s="10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99999999999999" customHeight="1" x14ac:dyDescent="0.3">
      <c r="A177" s="2"/>
      <c r="B177" s="6">
        <v>3</v>
      </c>
      <c r="C177" s="93" t="s">
        <v>282</v>
      </c>
      <c r="D177" s="8"/>
      <c r="E177" s="9" t="s">
        <v>283</v>
      </c>
      <c r="F177" s="6" t="s">
        <v>240</v>
      </c>
      <c r="G177" s="10">
        <v>45351</v>
      </c>
      <c r="H177" s="11">
        <v>28307</v>
      </c>
      <c r="I177" s="10">
        <v>45322</v>
      </c>
      <c r="J177" s="11">
        <v>28325</v>
      </c>
      <c r="K177" s="47">
        <v>1</v>
      </c>
      <c r="L177" s="48">
        <f>J177-H177</f>
        <v>18</v>
      </c>
      <c r="M177" s="82">
        <f>M176</f>
        <v>5.2738675143327498</v>
      </c>
      <c r="N177" s="103">
        <f>L177*M177</f>
        <v>94.929615257989497</v>
      </c>
      <c r="O177" s="9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99999999999999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99999999999999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99999999999999" customHeight="1" x14ac:dyDescent="0.3">
      <c r="A180" s="2"/>
      <c r="B180" s="458" t="s">
        <v>302</v>
      </c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99999999999999" customHeight="1" x14ac:dyDescent="0.3">
      <c r="A181" s="2"/>
      <c r="B181" s="459" t="s">
        <v>224</v>
      </c>
      <c r="C181" s="459"/>
      <c r="D181" s="3"/>
      <c r="E181" s="460" t="s">
        <v>275</v>
      </c>
      <c r="F181" s="460"/>
      <c r="G181" s="460"/>
      <c r="H181" s="460"/>
      <c r="I181" s="460"/>
      <c r="J181" s="460"/>
      <c r="K181" s="460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99999999999999" customHeight="1" x14ac:dyDescent="0.3">
      <c r="A182" s="2"/>
      <c r="B182" s="2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99999999999999" customHeight="1" x14ac:dyDescent="0.3">
      <c r="A183" s="2"/>
      <c r="B183" s="453" t="s">
        <v>227</v>
      </c>
      <c r="C183" s="453" t="s">
        <v>228</v>
      </c>
      <c r="D183" s="453" t="s">
        <v>229</v>
      </c>
      <c r="E183" s="454" t="s">
        <v>230</v>
      </c>
      <c r="F183" s="454" t="s">
        <v>231</v>
      </c>
      <c r="G183" s="454" t="s">
        <v>232</v>
      </c>
      <c r="H183" s="454"/>
      <c r="I183" s="454"/>
      <c r="J183" s="454"/>
      <c r="K183" s="454" t="s">
        <v>9</v>
      </c>
      <c r="L183" s="454" t="s">
        <v>292</v>
      </c>
      <c r="M183" s="455" t="s">
        <v>293</v>
      </c>
      <c r="N183" s="453" t="s">
        <v>18</v>
      </c>
      <c r="O183" s="453" t="s">
        <v>297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99999999999999" customHeight="1" x14ac:dyDescent="0.3">
      <c r="A184" s="2"/>
      <c r="B184" s="453"/>
      <c r="C184" s="453"/>
      <c r="D184" s="453"/>
      <c r="E184" s="454"/>
      <c r="F184" s="454"/>
      <c r="G184" s="7" t="s">
        <v>235</v>
      </c>
      <c r="H184" s="6" t="s">
        <v>236</v>
      </c>
      <c r="I184" s="7" t="s">
        <v>235</v>
      </c>
      <c r="J184" s="6" t="s">
        <v>236</v>
      </c>
      <c r="K184" s="454"/>
      <c r="L184" s="454"/>
      <c r="M184" s="454"/>
      <c r="N184" s="454"/>
      <c r="O184" s="454" t="s">
        <v>297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99999999999999" customHeight="1" x14ac:dyDescent="0.3">
      <c r="A185" s="2"/>
      <c r="B185" s="451">
        <v>1</v>
      </c>
      <c r="C185" s="456" t="s">
        <v>276</v>
      </c>
      <c r="D185" s="456"/>
      <c r="E185" s="9" t="s">
        <v>277</v>
      </c>
      <c r="F185" s="6" t="s">
        <v>240</v>
      </c>
      <c r="G185" s="10">
        <v>45382</v>
      </c>
      <c r="H185" s="89">
        <v>21741</v>
      </c>
      <c r="I185" s="10">
        <v>45412</v>
      </c>
      <c r="J185" s="89">
        <v>21798</v>
      </c>
      <c r="K185" s="47">
        <v>1</v>
      </c>
      <c r="L185" s="79">
        <f>J185-H185</f>
        <v>57</v>
      </c>
      <c r="M185" s="82">
        <v>5.5519999999999996</v>
      </c>
      <c r="N185" s="102">
        <f>L185*M185</f>
        <v>316.464</v>
      </c>
      <c r="O185" s="10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99999999999999" customHeight="1" x14ac:dyDescent="0.3">
      <c r="A186" s="2"/>
      <c r="B186" s="452"/>
      <c r="C186" s="457"/>
      <c r="D186" s="457"/>
      <c r="E186" s="9" t="s">
        <v>278</v>
      </c>
      <c r="F186" s="6" t="s">
        <v>279</v>
      </c>
      <c r="G186" s="10">
        <v>45382</v>
      </c>
      <c r="H186" s="89">
        <v>1653.69</v>
      </c>
      <c r="I186" s="10">
        <v>45412</v>
      </c>
      <c r="J186" s="89">
        <v>1670</v>
      </c>
      <c r="K186" s="47">
        <v>1</v>
      </c>
      <c r="L186" s="79">
        <f>J186-H186</f>
        <v>16.309999999999945</v>
      </c>
      <c r="M186" s="82">
        <v>30.38</v>
      </c>
      <c r="N186" s="102">
        <f>L186*M186</f>
        <v>495.49779999999834</v>
      </c>
      <c r="O186" s="10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99999999999999" customHeight="1" x14ac:dyDescent="0.3">
      <c r="A187" s="2"/>
      <c r="B187" s="6">
        <v>2</v>
      </c>
      <c r="C187" s="93" t="s">
        <v>280</v>
      </c>
      <c r="D187" s="8"/>
      <c r="E187" s="9" t="s">
        <v>281</v>
      </c>
      <c r="F187" s="6" t="s">
        <v>240</v>
      </c>
      <c r="G187" s="10">
        <v>45382</v>
      </c>
      <c r="H187" s="94">
        <v>19987</v>
      </c>
      <c r="I187" s="10">
        <v>45412</v>
      </c>
      <c r="J187" s="94">
        <v>20108</v>
      </c>
      <c r="K187" s="106">
        <v>1</v>
      </c>
      <c r="L187" s="48">
        <f>J187-H187</f>
        <v>121</v>
      </c>
      <c r="M187" s="82">
        <f>M185</f>
        <v>5.5519999999999996</v>
      </c>
      <c r="N187" s="103">
        <f>L187*M187</f>
        <v>671.79199999999992</v>
      </c>
      <c r="O187" s="10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99999999999999" customHeight="1" x14ac:dyDescent="0.3">
      <c r="A188" s="2"/>
      <c r="B188" s="6">
        <v>3</v>
      </c>
      <c r="C188" s="93" t="s">
        <v>282</v>
      </c>
      <c r="D188" s="8"/>
      <c r="E188" s="9" t="s">
        <v>283</v>
      </c>
      <c r="F188" s="6" t="s">
        <v>240</v>
      </c>
      <c r="G188" s="10">
        <v>45382</v>
      </c>
      <c r="H188" s="11">
        <v>28325</v>
      </c>
      <c r="I188" s="10">
        <v>45412</v>
      </c>
      <c r="J188" s="11">
        <v>28342</v>
      </c>
      <c r="K188" s="47">
        <v>1</v>
      </c>
      <c r="L188" s="48">
        <f>J188-H188</f>
        <v>17</v>
      </c>
      <c r="M188" s="82">
        <f>M187</f>
        <v>5.5519999999999996</v>
      </c>
      <c r="N188" s="103">
        <f>L188*M188</f>
        <v>94.383999999999986</v>
      </c>
      <c r="O188" s="9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99999999999999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99999999999999" customHeight="1" x14ac:dyDescent="0.3">
      <c r="A190" s="2"/>
      <c r="B190" s="458" t="s">
        <v>303</v>
      </c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99999999999999" customHeight="1" x14ac:dyDescent="0.3">
      <c r="A191" s="2"/>
      <c r="B191" s="459" t="s">
        <v>224</v>
      </c>
      <c r="C191" s="459"/>
      <c r="D191" s="3"/>
      <c r="E191" s="460" t="s">
        <v>275</v>
      </c>
      <c r="F191" s="460"/>
      <c r="G191" s="460"/>
      <c r="H191" s="460"/>
      <c r="I191" s="460"/>
      <c r="J191" s="460"/>
      <c r="K191" s="460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99999999999999" customHeight="1" x14ac:dyDescent="0.3">
      <c r="A192" s="2"/>
      <c r="B192" s="2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99999999999999" customHeight="1" x14ac:dyDescent="0.3">
      <c r="A193" s="2"/>
      <c r="B193" s="453" t="s">
        <v>227</v>
      </c>
      <c r="C193" s="453" t="s">
        <v>228</v>
      </c>
      <c r="D193" s="453" t="s">
        <v>229</v>
      </c>
      <c r="E193" s="454" t="s">
        <v>230</v>
      </c>
      <c r="F193" s="454" t="s">
        <v>231</v>
      </c>
      <c r="G193" s="454" t="s">
        <v>232</v>
      </c>
      <c r="H193" s="454"/>
      <c r="I193" s="454"/>
      <c r="J193" s="454"/>
      <c r="K193" s="454" t="s">
        <v>9</v>
      </c>
      <c r="L193" s="454" t="s">
        <v>292</v>
      </c>
      <c r="M193" s="455" t="s">
        <v>293</v>
      </c>
      <c r="N193" s="453" t="s">
        <v>18</v>
      </c>
      <c r="O193" s="453" t="s">
        <v>297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99999999999999" customHeight="1" x14ac:dyDescent="0.3">
      <c r="A194" s="2"/>
      <c r="B194" s="453"/>
      <c r="C194" s="453"/>
      <c r="D194" s="453"/>
      <c r="E194" s="454"/>
      <c r="F194" s="454"/>
      <c r="G194" s="7" t="s">
        <v>235</v>
      </c>
      <c r="H194" s="6" t="s">
        <v>236</v>
      </c>
      <c r="I194" s="7" t="s">
        <v>235</v>
      </c>
      <c r="J194" s="6" t="s">
        <v>236</v>
      </c>
      <c r="K194" s="454"/>
      <c r="L194" s="454"/>
      <c r="M194" s="454"/>
      <c r="N194" s="454"/>
      <c r="O194" s="454" t="s">
        <v>297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99999999999999" customHeight="1" x14ac:dyDescent="0.3">
      <c r="A195" s="2"/>
      <c r="B195" s="451">
        <v>1</v>
      </c>
      <c r="C195" s="456" t="s">
        <v>276</v>
      </c>
      <c r="D195" s="456"/>
      <c r="E195" s="9" t="s">
        <v>277</v>
      </c>
      <c r="F195" s="6" t="s">
        <v>240</v>
      </c>
      <c r="G195" s="10">
        <v>45412</v>
      </c>
      <c r="H195" s="89">
        <v>21798</v>
      </c>
      <c r="I195" s="10">
        <v>45443</v>
      </c>
      <c r="J195" s="89">
        <v>21837</v>
      </c>
      <c r="K195" s="47">
        <v>1</v>
      </c>
      <c r="L195" s="79">
        <f>J195-H195</f>
        <v>39</v>
      </c>
      <c r="M195" s="82">
        <v>6.5632802670172996</v>
      </c>
      <c r="N195" s="102">
        <f>L195*M195</f>
        <v>255.96793041367468</v>
      </c>
      <c r="O195" s="10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99999999999999" customHeight="1" x14ac:dyDescent="0.3">
      <c r="A196" s="2"/>
      <c r="B196" s="452"/>
      <c r="C196" s="457"/>
      <c r="D196" s="457"/>
      <c r="E196" s="9" t="s">
        <v>278</v>
      </c>
      <c r="F196" s="6" t="s">
        <v>279</v>
      </c>
      <c r="G196" s="10">
        <v>45412</v>
      </c>
      <c r="H196" s="89">
        <v>1670</v>
      </c>
      <c r="I196" s="10">
        <v>45443</v>
      </c>
      <c r="J196" s="89">
        <v>1676</v>
      </c>
      <c r="K196" s="47">
        <v>1</v>
      </c>
      <c r="L196" s="79">
        <f>J196-H196</f>
        <v>6</v>
      </c>
      <c r="M196" s="82">
        <v>30.38</v>
      </c>
      <c r="N196" s="102">
        <f>L196*M196</f>
        <v>182.28</v>
      </c>
      <c r="O196" s="10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99999999999999" customHeight="1" x14ac:dyDescent="0.3">
      <c r="A197" s="2"/>
      <c r="B197" s="6">
        <v>2</v>
      </c>
      <c r="C197" s="93" t="s">
        <v>280</v>
      </c>
      <c r="D197" s="8"/>
      <c r="E197" s="9" t="s">
        <v>281</v>
      </c>
      <c r="F197" s="6" t="s">
        <v>240</v>
      </c>
      <c r="G197" s="10">
        <v>45412</v>
      </c>
      <c r="H197" s="94">
        <v>20108</v>
      </c>
      <c r="I197" s="10">
        <v>45443</v>
      </c>
      <c r="J197" s="94">
        <v>20230</v>
      </c>
      <c r="K197" s="106">
        <v>1</v>
      </c>
      <c r="L197" s="48">
        <f>J197-H197</f>
        <v>122</v>
      </c>
      <c r="M197" s="82">
        <f>M195</f>
        <v>6.5632802670172996</v>
      </c>
      <c r="N197" s="103">
        <f>L197*M197</f>
        <v>800.72019257611055</v>
      </c>
      <c r="O197" s="10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99999999999999" customHeight="1" x14ac:dyDescent="0.3">
      <c r="A198" s="2"/>
      <c r="B198" s="6">
        <v>3</v>
      </c>
      <c r="C198" s="93" t="s">
        <v>282</v>
      </c>
      <c r="D198" s="8"/>
      <c r="E198" s="9" t="s">
        <v>283</v>
      </c>
      <c r="F198" s="6" t="s">
        <v>240</v>
      </c>
      <c r="G198" s="10">
        <v>45412</v>
      </c>
      <c r="H198" s="11">
        <v>28342</v>
      </c>
      <c r="I198" s="10">
        <v>45443</v>
      </c>
      <c r="J198" s="11">
        <v>28361</v>
      </c>
      <c r="K198" s="47">
        <v>1</v>
      </c>
      <c r="L198" s="48">
        <f>J198-H198</f>
        <v>19</v>
      </c>
      <c r="M198" s="82">
        <f>M197</f>
        <v>6.5632802670172996</v>
      </c>
      <c r="N198" s="103">
        <f>L198*M198</f>
        <v>124.70232507332869</v>
      </c>
      <c r="O198" s="9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99999999999999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99999999999999" customHeight="1" x14ac:dyDescent="0.3">
      <c r="A200" s="2"/>
      <c r="B200" s="458" t="s">
        <v>304</v>
      </c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99999999999999" customHeight="1" x14ac:dyDescent="0.3">
      <c r="A201" s="2"/>
      <c r="B201" s="459" t="s">
        <v>224</v>
      </c>
      <c r="C201" s="459"/>
      <c r="D201" s="3"/>
      <c r="E201" s="460" t="s">
        <v>275</v>
      </c>
      <c r="F201" s="460"/>
      <c r="G201" s="460"/>
      <c r="H201" s="460"/>
      <c r="I201" s="460"/>
      <c r="J201" s="460"/>
      <c r="K201" s="460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99999999999999" customHeight="1" x14ac:dyDescent="0.3">
      <c r="A202" s="2"/>
      <c r="B202" s="2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99999999999999" customHeight="1" x14ac:dyDescent="0.3">
      <c r="A203" s="2"/>
      <c r="B203" s="453" t="s">
        <v>227</v>
      </c>
      <c r="C203" s="453" t="s">
        <v>228</v>
      </c>
      <c r="D203" s="453" t="s">
        <v>229</v>
      </c>
      <c r="E203" s="454" t="s">
        <v>230</v>
      </c>
      <c r="F203" s="454" t="s">
        <v>231</v>
      </c>
      <c r="G203" s="454" t="s">
        <v>232</v>
      </c>
      <c r="H203" s="454"/>
      <c r="I203" s="454"/>
      <c r="J203" s="454"/>
      <c r="K203" s="454" t="s">
        <v>9</v>
      </c>
      <c r="L203" s="454" t="s">
        <v>292</v>
      </c>
      <c r="M203" s="455" t="s">
        <v>293</v>
      </c>
      <c r="N203" s="453" t="s">
        <v>18</v>
      </c>
      <c r="O203" s="453" t="s">
        <v>297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99999999999999" customHeight="1" x14ac:dyDescent="0.3">
      <c r="A204" s="2"/>
      <c r="B204" s="453"/>
      <c r="C204" s="453"/>
      <c r="D204" s="453"/>
      <c r="E204" s="454"/>
      <c r="F204" s="454"/>
      <c r="G204" s="7" t="s">
        <v>235</v>
      </c>
      <c r="H204" s="6" t="s">
        <v>236</v>
      </c>
      <c r="I204" s="7" t="s">
        <v>235</v>
      </c>
      <c r="J204" s="6" t="s">
        <v>236</v>
      </c>
      <c r="K204" s="454"/>
      <c r="L204" s="454"/>
      <c r="M204" s="454"/>
      <c r="N204" s="454"/>
      <c r="O204" s="454" t="s">
        <v>297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99999999999999" customHeight="1" x14ac:dyDescent="0.3">
      <c r="A205" s="2"/>
      <c r="B205" s="451">
        <v>1</v>
      </c>
      <c r="C205" s="456" t="s">
        <v>276</v>
      </c>
      <c r="D205" s="456"/>
      <c r="E205" s="9" t="s">
        <v>277</v>
      </c>
      <c r="F205" s="6" t="s">
        <v>240</v>
      </c>
      <c r="G205" s="10">
        <v>45443</v>
      </c>
      <c r="H205" s="89">
        <v>21837</v>
      </c>
      <c r="I205" s="10">
        <v>45473</v>
      </c>
      <c r="J205" s="69">
        <v>21857.200000000001</v>
      </c>
      <c r="K205" s="47">
        <v>1</v>
      </c>
      <c r="L205" s="79">
        <f>J205-H205</f>
        <v>20.200000000000728</v>
      </c>
      <c r="M205" s="82">
        <v>7.5064681583476798</v>
      </c>
      <c r="N205" s="102">
        <f>L205*M205</f>
        <v>151.63065679862859</v>
      </c>
      <c r="O205" s="10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99999999999999" customHeight="1" x14ac:dyDescent="0.3">
      <c r="A206" s="2"/>
      <c r="B206" s="452"/>
      <c r="C206" s="457"/>
      <c r="D206" s="457"/>
      <c r="E206" s="9" t="s">
        <v>305</v>
      </c>
      <c r="F206" s="6" t="s">
        <v>279</v>
      </c>
      <c r="G206" s="10">
        <v>45443</v>
      </c>
      <c r="H206" s="89">
        <v>1676</v>
      </c>
      <c r="I206" s="10">
        <v>45473</v>
      </c>
      <c r="J206" s="69">
        <v>1680</v>
      </c>
      <c r="K206" s="47">
        <v>1</v>
      </c>
      <c r="L206" s="79">
        <f>J206-H206</f>
        <v>4</v>
      </c>
      <c r="M206" s="82" t="e">
        <f>[2]Арендаторы!M107</f>
        <v>#REF!</v>
      </c>
      <c r="N206" s="102" t="e">
        <f>L206*M206</f>
        <v>#REF!</v>
      </c>
      <c r="O206" s="10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99999999999999" customHeight="1" x14ac:dyDescent="0.3">
      <c r="A207" s="2"/>
      <c r="B207" s="6">
        <v>2</v>
      </c>
      <c r="C207" s="93" t="s">
        <v>280</v>
      </c>
      <c r="D207" s="8"/>
      <c r="E207" s="9" t="s">
        <v>281</v>
      </c>
      <c r="F207" s="6" t="s">
        <v>240</v>
      </c>
      <c r="G207" s="10">
        <v>45443</v>
      </c>
      <c r="H207" s="94">
        <v>20230</v>
      </c>
      <c r="I207" s="10">
        <v>45473</v>
      </c>
      <c r="J207" s="94">
        <v>20330</v>
      </c>
      <c r="K207" s="106">
        <v>1</v>
      </c>
      <c r="L207" s="48">
        <f>J207-H207</f>
        <v>100</v>
      </c>
      <c r="M207" s="82">
        <f>M205</f>
        <v>7.5064681583476798</v>
      </c>
      <c r="N207" s="103">
        <f>L207*M207</f>
        <v>750.64681583476795</v>
      </c>
      <c r="O207" s="10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99999999999999" customHeight="1" x14ac:dyDescent="0.3">
      <c r="A208" s="2"/>
      <c r="B208" s="6">
        <v>3</v>
      </c>
      <c r="C208" s="93" t="s">
        <v>306</v>
      </c>
      <c r="D208" s="8"/>
      <c r="E208" s="9" t="s">
        <v>283</v>
      </c>
      <c r="F208" s="6" t="s">
        <v>240</v>
      </c>
      <c r="G208" s="112">
        <v>45159</v>
      </c>
      <c r="H208" s="92">
        <v>28191</v>
      </c>
      <c r="I208" s="112">
        <v>45473</v>
      </c>
      <c r="J208" s="92">
        <v>28378</v>
      </c>
      <c r="K208" s="47">
        <v>1</v>
      </c>
      <c r="L208" s="48">
        <f>J208-H208</f>
        <v>187</v>
      </c>
      <c r="M208" s="82">
        <f>M207</f>
        <v>7.5064681583476798</v>
      </c>
      <c r="N208" s="103">
        <f>L208*M208</f>
        <v>1403.7095456110162</v>
      </c>
      <c r="O208" s="9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99999999999999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99999999999999" customHeight="1" x14ac:dyDescent="0.3">
      <c r="A210" s="2"/>
      <c r="B210" s="458" t="s">
        <v>307</v>
      </c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99999999999999" customHeight="1" x14ac:dyDescent="0.3">
      <c r="A211" s="2"/>
      <c r="B211" s="459" t="s">
        <v>224</v>
      </c>
      <c r="C211" s="459"/>
      <c r="D211" s="3"/>
      <c r="E211" s="460" t="s">
        <v>275</v>
      </c>
      <c r="F211" s="460"/>
      <c r="G211" s="460"/>
      <c r="H211" s="460"/>
      <c r="I211" s="460"/>
      <c r="J211" s="460"/>
      <c r="K211" s="460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99999999999999" customHeight="1" x14ac:dyDescent="0.3">
      <c r="A212" s="2"/>
      <c r="B212" s="2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99999999999999" customHeight="1" x14ac:dyDescent="0.3">
      <c r="A213" s="2"/>
      <c r="B213" s="453" t="s">
        <v>227</v>
      </c>
      <c r="C213" s="453" t="s">
        <v>228</v>
      </c>
      <c r="D213" s="453" t="s">
        <v>229</v>
      </c>
      <c r="E213" s="454" t="s">
        <v>230</v>
      </c>
      <c r="F213" s="454" t="s">
        <v>231</v>
      </c>
      <c r="G213" s="454" t="s">
        <v>232</v>
      </c>
      <c r="H213" s="454"/>
      <c r="I213" s="454"/>
      <c r="J213" s="454"/>
      <c r="K213" s="454" t="s">
        <v>9</v>
      </c>
      <c r="L213" s="454" t="s">
        <v>292</v>
      </c>
      <c r="M213" s="455" t="s">
        <v>293</v>
      </c>
      <c r="N213" s="453" t="s">
        <v>18</v>
      </c>
      <c r="O213" s="453" t="s">
        <v>297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99999999999999" customHeight="1" x14ac:dyDescent="0.3">
      <c r="A214" s="2"/>
      <c r="B214" s="453"/>
      <c r="C214" s="453"/>
      <c r="D214" s="453"/>
      <c r="E214" s="454"/>
      <c r="F214" s="454"/>
      <c r="G214" s="7" t="s">
        <v>235</v>
      </c>
      <c r="H214" s="6" t="s">
        <v>236</v>
      </c>
      <c r="I214" s="7" t="s">
        <v>235</v>
      </c>
      <c r="J214" s="6" t="s">
        <v>236</v>
      </c>
      <c r="K214" s="454"/>
      <c r="L214" s="454"/>
      <c r="M214" s="454"/>
      <c r="N214" s="454"/>
      <c r="O214" s="454" t="s">
        <v>297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99999999999999" customHeight="1" x14ac:dyDescent="0.3">
      <c r="A215" s="2"/>
      <c r="B215" s="451">
        <v>1</v>
      </c>
      <c r="C215" s="456" t="s">
        <v>276</v>
      </c>
      <c r="D215" s="456"/>
      <c r="E215" s="9" t="s">
        <v>277</v>
      </c>
      <c r="F215" s="6" t="s">
        <v>240</v>
      </c>
      <c r="G215" s="10">
        <v>45473</v>
      </c>
      <c r="H215" s="69">
        <v>21857.200000000001</v>
      </c>
      <c r="I215" s="10">
        <v>45504</v>
      </c>
      <c r="J215" s="69">
        <v>21873.8</v>
      </c>
      <c r="K215" s="47">
        <v>1</v>
      </c>
      <c r="L215" s="79">
        <f>J215-H215</f>
        <v>16.599999999998545</v>
      </c>
      <c r="M215" s="82">
        <v>7.9506956785137302</v>
      </c>
      <c r="N215" s="102">
        <f>L215*M215</f>
        <v>131.98154826331634</v>
      </c>
      <c r="O215" s="10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99999999999999" customHeight="1" x14ac:dyDescent="0.3">
      <c r="A216" s="2"/>
      <c r="B216" s="452"/>
      <c r="C216" s="457"/>
      <c r="D216" s="457"/>
      <c r="E216" s="9" t="s">
        <v>305</v>
      </c>
      <c r="F216" s="6" t="s">
        <v>279</v>
      </c>
      <c r="G216" s="10">
        <v>45473</v>
      </c>
      <c r="H216" s="69">
        <v>1680</v>
      </c>
      <c r="I216" s="10">
        <v>45504</v>
      </c>
      <c r="J216" s="69">
        <v>1682.41</v>
      </c>
      <c r="K216" s="47">
        <v>1</v>
      </c>
      <c r="L216" s="79">
        <f>J216-H216</f>
        <v>2.4100000000000819</v>
      </c>
      <c r="M216" s="82" t="e">
        <f>[2]Арендаторы!M121</f>
        <v>#REF!</v>
      </c>
      <c r="N216" s="102" t="e">
        <f>L216*M216</f>
        <v>#REF!</v>
      </c>
      <c r="O216" s="10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99999999999999" customHeight="1" x14ac:dyDescent="0.3">
      <c r="A217" s="2"/>
      <c r="B217" s="6">
        <v>2</v>
      </c>
      <c r="C217" s="93" t="s">
        <v>280</v>
      </c>
      <c r="D217" s="8"/>
      <c r="E217" s="9" t="s">
        <v>281</v>
      </c>
      <c r="F217" s="6" t="s">
        <v>240</v>
      </c>
      <c r="G217" s="10">
        <v>45473</v>
      </c>
      <c r="H217" s="94">
        <v>20330</v>
      </c>
      <c r="I217" s="10">
        <v>45504</v>
      </c>
      <c r="J217" s="94">
        <v>20426.5</v>
      </c>
      <c r="K217" s="106">
        <v>1</v>
      </c>
      <c r="L217" s="48">
        <f>J217-H217</f>
        <v>96.5</v>
      </c>
      <c r="M217" s="82">
        <f>M215</f>
        <v>7.9506956785137302</v>
      </c>
      <c r="N217" s="103">
        <f>L217*M217</f>
        <v>767.24213297657491</v>
      </c>
      <c r="O217" s="10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99999999999999" customHeight="1" x14ac:dyDescent="0.3">
      <c r="A218" s="2"/>
      <c r="B218" s="6">
        <v>3</v>
      </c>
      <c r="C218" s="93" t="s">
        <v>306</v>
      </c>
      <c r="D218" s="8"/>
      <c r="E218" s="9" t="s">
        <v>283</v>
      </c>
      <c r="F218" s="6" t="s">
        <v>240</v>
      </c>
      <c r="G218" s="112">
        <v>45473</v>
      </c>
      <c r="H218" s="92">
        <v>28378</v>
      </c>
      <c r="I218" s="112">
        <v>45504</v>
      </c>
      <c r="J218" s="92">
        <v>28397.8</v>
      </c>
      <c r="K218" s="47">
        <v>1</v>
      </c>
      <c r="L218" s="48">
        <f>J218-H218</f>
        <v>19.799999999999272</v>
      </c>
      <c r="M218" s="82">
        <f>M217</f>
        <v>7.9506956785137302</v>
      </c>
      <c r="N218" s="103">
        <f>L218*M218</f>
        <v>157.42377443456607</v>
      </c>
      <c r="O218" s="9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99999999999999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99999999999999" customHeight="1" x14ac:dyDescent="0.3">
      <c r="A220" s="2"/>
      <c r="B220" s="458" t="s">
        <v>308</v>
      </c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99999999999999" customHeight="1" x14ac:dyDescent="0.3">
      <c r="A221" s="2"/>
      <c r="B221" s="459" t="s">
        <v>224</v>
      </c>
      <c r="C221" s="459"/>
      <c r="D221" s="3"/>
      <c r="E221" s="460" t="s">
        <v>275</v>
      </c>
      <c r="F221" s="460"/>
      <c r="G221" s="460"/>
      <c r="H221" s="460"/>
      <c r="I221" s="460"/>
      <c r="J221" s="460"/>
      <c r="K221" s="460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99999999999999" customHeight="1" x14ac:dyDescent="0.3">
      <c r="A222" s="2"/>
      <c r="B222" s="2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99999999999999" customHeight="1" x14ac:dyDescent="0.3">
      <c r="A223" s="2"/>
      <c r="B223" s="453" t="s">
        <v>227</v>
      </c>
      <c r="C223" s="453" t="s">
        <v>228</v>
      </c>
      <c r="D223" s="453" t="s">
        <v>229</v>
      </c>
      <c r="E223" s="454" t="s">
        <v>230</v>
      </c>
      <c r="F223" s="454" t="s">
        <v>231</v>
      </c>
      <c r="G223" s="454" t="s">
        <v>232</v>
      </c>
      <c r="H223" s="454"/>
      <c r="I223" s="454"/>
      <c r="J223" s="454"/>
      <c r="K223" s="454" t="s">
        <v>9</v>
      </c>
      <c r="L223" s="454" t="s">
        <v>292</v>
      </c>
      <c r="M223" s="455" t="s">
        <v>293</v>
      </c>
      <c r="N223" s="453" t="s">
        <v>18</v>
      </c>
      <c r="O223" s="453" t="s">
        <v>297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99999999999999" customHeight="1" x14ac:dyDescent="0.3">
      <c r="A224" s="2"/>
      <c r="B224" s="453"/>
      <c r="C224" s="453"/>
      <c r="D224" s="453"/>
      <c r="E224" s="454"/>
      <c r="F224" s="454"/>
      <c r="G224" s="7" t="s">
        <v>235</v>
      </c>
      <c r="H224" s="6" t="s">
        <v>236</v>
      </c>
      <c r="I224" s="7" t="s">
        <v>235</v>
      </c>
      <c r="J224" s="6" t="s">
        <v>236</v>
      </c>
      <c r="K224" s="454"/>
      <c r="L224" s="454"/>
      <c r="M224" s="454"/>
      <c r="N224" s="454"/>
      <c r="O224" s="454" t="s">
        <v>297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99999999999999" customHeight="1" x14ac:dyDescent="0.3">
      <c r="A225" s="2"/>
      <c r="B225" s="451">
        <v>1</v>
      </c>
      <c r="C225" s="456" t="s">
        <v>309</v>
      </c>
      <c r="D225" s="456"/>
      <c r="E225" s="9" t="s">
        <v>310</v>
      </c>
      <c r="F225" s="6" t="s">
        <v>240</v>
      </c>
      <c r="G225" s="10">
        <v>45504</v>
      </c>
      <c r="H225" s="94">
        <v>25.8</v>
      </c>
      <c r="I225" s="10">
        <v>45535</v>
      </c>
      <c r="J225" s="94">
        <v>81.5</v>
      </c>
      <c r="K225" s="47">
        <v>1</v>
      </c>
      <c r="L225" s="79">
        <f>J225-H225</f>
        <v>55.7</v>
      </c>
      <c r="M225" s="82">
        <v>8.0084759999999999</v>
      </c>
      <c r="N225" s="102">
        <f>L225*M225</f>
        <v>446.07211320000005</v>
      </c>
      <c r="O225" s="10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99999999999999" customHeight="1" x14ac:dyDescent="0.3">
      <c r="A226" s="2"/>
      <c r="B226" s="452"/>
      <c r="C226" s="457"/>
      <c r="D226" s="457"/>
      <c r="E226" s="9" t="s">
        <v>305</v>
      </c>
      <c r="F226" s="6" t="s">
        <v>279</v>
      </c>
      <c r="G226" s="10">
        <v>45504</v>
      </c>
      <c r="H226" s="94">
        <v>1682.41</v>
      </c>
      <c r="I226" s="10">
        <v>45535</v>
      </c>
      <c r="J226" s="94">
        <v>1683.49</v>
      </c>
      <c r="K226" s="47">
        <v>1</v>
      </c>
      <c r="L226" s="79">
        <f>J226-H226</f>
        <v>1.0799999999999272</v>
      </c>
      <c r="M226" s="82" t="e">
        <f>[2]Арендаторы!M141</f>
        <v>#REF!</v>
      </c>
      <c r="N226" s="102" t="e">
        <f>L226*M226</f>
        <v>#REF!</v>
      </c>
      <c r="O226" s="10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99999999999999" customHeight="1" x14ac:dyDescent="0.3">
      <c r="A227" s="2"/>
      <c r="B227" s="6">
        <v>2</v>
      </c>
      <c r="C227" s="93" t="s">
        <v>280</v>
      </c>
      <c r="D227" s="8"/>
      <c r="E227" s="9" t="s">
        <v>311</v>
      </c>
      <c r="F227" s="6" t="s">
        <v>240</v>
      </c>
      <c r="G227" s="10">
        <v>45504</v>
      </c>
      <c r="H227" s="94">
        <v>8</v>
      </c>
      <c r="I227" s="10">
        <v>45535</v>
      </c>
      <c r="J227" s="94">
        <v>57.8</v>
      </c>
      <c r="K227" s="106">
        <v>1</v>
      </c>
      <c r="L227" s="48">
        <f>J227-H227</f>
        <v>49.8</v>
      </c>
      <c r="M227" s="82">
        <f>M225</f>
        <v>8.0084759999999999</v>
      </c>
      <c r="N227" s="103">
        <f>L227*M227</f>
        <v>398.82210479999998</v>
      </c>
      <c r="O227" s="10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99999999999999" customHeight="1" x14ac:dyDescent="0.3">
      <c r="A228" s="2"/>
      <c r="B228" s="6">
        <v>3</v>
      </c>
      <c r="C228" s="93" t="s">
        <v>306</v>
      </c>
      <c r="D228" s="8"/>
      <c r="E228" s="9" t="s">
        <v>283</v>
      </c>
      <c r="F228" s="6" t="s">
        <v>240</v>
      </c>
      <c r="G228" s="10">
        <v>45504</v>
      </c>
      <c r="H228" s="94">
        <v>28397.8</v>
      </c>
      <c r="I228" s="10">
        <v>45535</v>
      </c>
      <c r="J228" s="94">
        <v>28411.599999999999</v>
      </c>
      <c r="K228" s="47">
        <v>1</v>
      </c>
      <c r="L228" s="48">
        <f>J228-H228</f>
        <v>13.799999999999272</v>
      </c>
      <c r="M228" s="82">
        <f>M227</f>
        <v>8.0084759999999999</v>
      </c>
      <c r="N228" s="103">
        <f>L228*M228</f>
        <v>110.51696879999417</v>
      </c>
      <c r="O228" s="9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99999999999999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99999999999999" customHeight="1" x14ac:dyDescent="0.3">
      <c r="A230" s="2"/>
      <c r="B230" s="458" t="s">
        <v>312</v>
      </c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99999999999999" customHeight="1" x14ac:dyDescent="0.3">
      <c r="A231" s="2"/>
      <c r="B231" s="459" t="s">
        <v>224</v>
      </c>
      <c r="C231" s="459"/>
      <c r="D231" s="3"/>
      <c r="E231" s="460" t="s">
        <v>275</v>
      </c>
      <c r="F231" s="460"/>
      <c r="G231" s="460"/>
      <c r="H231" s="460"/>
      <c r="I231" s="460"/>
      <c r="J231" s="460"/>
      <c r="K231" s="460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99999999999999" customHeight="1" x14ac:dyDescent="0.3">
      <c r="A232" s="2"/>
      <c r="B232" s="2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99999999999999" customHeight="1" x14ac:dyDescent="0.3">
      <c r="A233" s="2"/>
      <c r="B233" s="453" t="s">
        <v>227</v>
      </c>
      <c r="C233" s="453" t="s">
        <v>228</v>
      </c>
      <c r="D233" s="453" t="s">
        <v>229</v>
      </c>
      <c r="E233" s="454" t="s">
        <v>230</v>
      </c>
      <c r="F233" s="454" t="s">
        <v>231</v>
      </c>
      <c r="G233" s="454" t="s">
        <v>232</v>
      </c>
      <c r="H233" s="454"/>
      <c r="I233" s="454"/>
      <c r="J233" s="454"/>
      <c r="K233" s="454" t="s">
        <v>9</v>
      </c>
      <c r="L233" s="454" t="s">
        <v>292</v>
      </c>
      <c r="M233" s="455" t="s">
        <v>293</v>
      </c>
      <c r="N233" s="453" t="s">
        <v>18</v>
      </c>
      <c r="O233" s="453" t="s">
        <v>297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99999999999999" customHeight="1" x14ac:dyDescent="0.3">
      <c r="A234" s="2"/>
      <c r="B234" s="453"/>
      <c r="C234" s="453"/>
      <c r="D234" s="453"/>
      <c r="E234" s="454"/>
      <c r="F234" s="454"/>
      <c r="G234" s="7" t="s">
        <v>235</v>
      </c>
      <c r="H234" s="6" t="s">
        <v>236</v>
      </c>
      <c r="I234" s="7" t="s">
        <v>235</v>
      </c>
      <c r="J234" s="6" t="s">
        <v>236</v>
      </c>
      <c r="K234" s="454"/>
      <c r="L234" s="454"/>
      <c r="M234" s="454"/>
      <c r="N234" s="454"/>
      <c r="O234" s="454" t="s">
        <v>297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99999999999999" customHeight="1" x14ac:dyDescent="0.3">
      <c r="A235" s="2"/>
      <c r="B235" s="451">
        <v>1</v>
      </c>
      <c r="C235" s="456" t="s">
        <v>309</v>
      </c>
      <c r="D235" s="456"/>
      <c r="E235" s="9" t="s">
        <v>310</v>
      </c>
      <c r="F235" s="6" t="s">
        <v>240</v>
      </c>
      <c r="G235" s="10">
        <v>45535</v>
      </c>
      <c r="H235" s="94">
        <v>81.5</v>
      </c>
      <c r="I235" s="10">
        <v>45565</v>
      </c>
      <c r="J235" s="94">
        <v>259.8</v>
      </c>
      <c r="K235" s="47">
        <v>1</v>
      </c>
      <c r="L235" s="79">
        <f>J235-H235</f>
        <v>178.3</v>
      </c>
      <c r="M235" s="82">
        <v>8.1712319999999998</v>
      </c>
      <c r="N235" s="102">
        <f>L235*M235</f>
        <v>1456.9306656000001</v>
      </c>
      <c r="O235" s="461">
        <v>1573.71</v>
      </c>
      <c r="P235" s="2"/>
      <c r="Q235" s="2"/>
      <c r="R235" s="2">
        <f>1.2*6.80936</f>
        <v>8.1712319999999998</v>
      </c>
      <c r="S235" s="2"/>
      <c r="T235" s="2"/>
      <c r="U235" s="2"/>
      <c r="V235" s="2"/>
      <c r="W235" s="2"/>
      <c r="X235" s="2"/>
      <c r="Y235" s="2"/>
      <c r="Z235" s="2"/>
    </row>
    <row r="236" spans="1:26" ht="16.899999999999999" customHeight="1" x14ac:dyDescent="0.3">
      <c r="A236" s="2"/>
      <c r="B236" s="452"/>
      <c r="C236" s="457"/>
      <c r="D236" s="457"/>
      <c r="E236" s="9" t="s">
        <v>305</v>
      </c>
      <c r="F236" s="6" t="s">
        <v>279</v>
      </c>
      <c r="G236" s="10">
        <v>45535</v>
      </c>
      <c r="H236" s="94">
        <v>1683.49</v>
      </c>
      <c r="I236" s="10">
        <v>45565</v>
      </c>
      <c r="J236" s="94">
        <v>1685.35</v>
      </c>
      <c r="K236" s="47">
        <v>1</v>
      </c>
      <c r="L236" s="79">
        <f>J236-H236</f>
        <v>1.8599999999999</v>
      </c>
      <c r="M236" s="82">
        <v>62.783999999999999</v>
      </c>
      <c r="N236" s="102">
        <f>L236*M236</f>
        <v>116.77823999999372</v>
      </c>
      <c r="O236" s="46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99999999999999" customHeight="1" x14ac:dyDescent="0.3">
      <c r="A237" s="2"/>
      <c r="B237" s="6">
        <v>2</v>
      </c>
      <c r="C237" s="93" t="s">
        <v>280</v>
      </c>
      <c r="D237" s="8"/>
      <c r="E237" s="9" t="s">
        <v>311</v>
      </c>
      <c r="F237" s="6" t="s">
        <v>240</v>
      </c>
      <c r="G237" s="10">
        <v>45535</v>
      </c>
      <c r="H237" s="94">
        <v>57.8</v>
      </c>
      <c r="I237" s="10">
        <v>45565</v>
      </c>
      <c r="J237" s="94">
        <v>170.8</v>
      </c>
      <c r="K237" s="106">
        <v>1</v>
      </c>
      <c r="L237" s="48">
        <f>J237-H237</f>
        <v>113.00000000000001</v>
      </c>
      <c r="M237" s="82">
        <f>M235</f>
        <v>8.1712319999999998</v>
      </c>
      <c r="N237" s="103">
        <f>L237*M237</f>
        <v>923.34921600000007</v>
      </c>
      <c r="O237" s="107">
        <v>7622.05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99999999999999" customHeight="1" x14ac:dyDescent="0.3">
      <c r="A238" s="2"/>
      <c r="B238" s="6">
        <v>3</v>
      </c>
      <c r="C238" s="93" t="s">
        <v>306</v>
      </c>
      <c r="D238" s="8"/>
      <c r="E238" s="9" t="s">
        <v>283</v>
      </c>
      <c r="F238" s="6" t="s">
        <v>240</v>
      </c>
      <c r="G238" s="10">
        <v>45535</v>
      </c>
      <c r="H238" s="94">
        <v>28411.599999999999</v>
      </c>
      <c r="I238" s="10">
        <v>45565</v>
      </c>
      <c r="J238" s="94">
        <v>28426.799999999999</v>
      </c>
      <c r="K238" s="47">
        <v>1</v>
      </c>
      <c r="L238" s="48">
        <f>J238-H238</f>
        <v>15.200000000000728</v>
      </c>
      <c r="M238" s="82">
        <f>M237</f>
        <v>8.1712319999999998</v>
      </c>
      <c r="N238" s="103">
        <f>L238*M238</f>
        <v>124.20272640000594</v>
      </c>
      <c r="O238" s="107">
        <v>392.5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99999999999999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99999999999999" customHeight="1" x14ac:dyDescent="0.3">
      <c r="A240" s="2"/>
      <c r="B240" s="458" t="s">
        <v>313</v>
      </c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99999999999999" customHeight="1" x14ac:dyDescent="0.3">
      <c r="A241" s="2"/>
      <c r="B241" s="459" t="s">
        <v>224</v>
      </c>
      <c r="C241" s="459"/>
      <c r="D241" s="3"/>
      <c r="E241" s="460" t="s">
        <v>275</v>
      </c>
      <c r="F241" s="460"/>
      <c r="G241" s="460"/>
      <c r="H241" s="460"/>
      <c r="I241" s="460"/>
      <c r="J241" s="460"/>
      <c r="K241" s="460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99999999999999" customHeight="1" x14ac:dyDescent="0.3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99999999999999" customHeight="1" x14ac:dyDescent="0.3">
      <c r="A243" s="2"/>
      <c r="B243" s="453" t="s">
        <v>227</v>
      </c>
      <c r="C243" s="453" t="s">
        <v>228</v>
      </c>
      <c r="D243" s="453" t="s">
        <v>229</v>
      </c>
      <c r="E243" s="454" t="s">
        <v>230</v>
      </c>
      <c r="F243" s="454" t="s">
        <v>231</v>
      </c>
      <c r="G243" s="454" t="s">
        <v>232</v>
      </c>
      <c r="H243" s="454"/>
      <c r="I243" s="454"/>
      <c r="J243" s="454"/>
      <c r="K243" s="454" t="s">
        <v>9</v>
      </c>
      <c r="L243" s="454" t="s">
        <v>292</v>
      </c>
      <c r="M243" s="455" t="s">
        <v>293</v>
      </c>
      <c r="N243" s="453" t="s">
        <v>18</v>
      </c>
      <c r="O243" s="453" t="s">
        <v>297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99999999999999" customHeight="1" x14ac:dyDescent="0.3">
      <c r="A244" s="2"/>
      <c r="B244" s="453"/>
      <c r="C244" s="453"/>
      <c r="D244" s="453"/>
      <c r="E244" s="454"/>
      <c r="F244" s="454"/>
      <c r="G244" s="7" t="s">
        <v>235</v>
      </c>
      <c r="H244" s="6" t="s">
        <v>236</v>
      </c>
      <c r="I244" s="7" t="s">
        <v>235</v>
      </c>
      <c r="J244" s="6" t="s">
        <v>236</v>
      </c>
      <c r="K244" s="454"/>
      <c r="L244" s="454"/>
      <c r="M244" s="454"/>
      <c r="N244" s="454"/>
      <c r="O244" s="454" t="s">
        <v>297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99999999999999" customHeight="1" x14ac:dyDescent="0.3">
      <c r="A245" s="2"/>
      <c r="B245" s="451">
        <v>1</v>
      </c>
      <c r="C245" s="456" t="s">
        <v>309</v>
      </c>
      <c r="D245" s="456"/>
      <c r="E245" s="9" t="s">
        <v>314</v>
      </c>
      <c r="F245" s="6" t="s">
        <v>240</v>
      </c>
      <c r="G245" s="10">
        <v>45565</v>
      </c>
      <c r="H245" s="94">
        <v>259.8</v>
      </c>
      <c r="I245" s="10">
        <v>45596</v>
      </c>
      <c r="J245" s="94">
        <v>520.20000000000005</v>
      </c>
      <c r="K245" s="47">
        <v>1</v>
      </c>
      <c r="L245" s="79">
        <f>J245-H245</f>
        <v>260.40000000000003</v>
      </c>
      <c r="M245" s="82">
        <v>8.2268399999999993</v>
      </c>
      <c r="N245" s="102">
        <f>L245*M245</f>
        <v>2142.2691359999999</v>
      </c>
      <c r="O245" s="113"/>
      <c r="P245" s="2"/>
      <c r="Q245" s="2"/>
      <c r="R245" s="2">
        <f>1.2*6.8557</f>
        <v>8.2268399999999993</v>
      </c>
      <c r="S245" s="2"/>
      <c r="T245" s="2"/>
      <c r="U245" s="2"/>
      <c r="V245" s="2"/>
      <c r="W245" s="2"/>
      <c r="X245" s="2"/>
      <c r="Y245" s="2"/>
      <c r="Z245" s="2"/>
    </row>
    <row r="246" spans="1:26" ht="16.899999999999999" customHeight="1" x14ac:dyDescent="0.3">
      <c r="A246" s="2"/>
      <c r="B246" s="452"/>
      <c r="C246" s="457"/>
      <c r="D246" s="457"/>
      <c r="E246" s="9" t="s">
        <v>305</v>
      </c>
      <c r="F246" s="6" t="s">
        <v>279</v>
      </c>
      <c r="G246" s="10">
        <v>45565</v>
      </c>
      <c r="H246" s="94">
        <v>1685.35</v>
      </c>
      <c r="I246" s="10">
        <v>45596</v>
      </c>
      <c r="J246" s="94">
        <v>1687.5</v>
      </c>
      <c r="K246" s="47">
        <v>1</v>
      </c>
      <c r="L246" s="79">
        <f>J246-H246</f>
        <v>2.1500000000000909</v>
      </c>
      <c r="M246" s="82">
        <v>62.783999999999999</v>
      </c>
      <c r="N246" s="102">
        <f>L246*M246</f>
        <v>134.98560000000572</v>
      </c>
      <c r="O246" s="11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99999999999999" customHeight="1" x14ac:dyDescent="0.3">
      <c r="A247" s="2"/>
      <c r="B247" s="6">
        <v>2</v>
      </c>
      <c r="C247" s="93" t="s">
        <v>315</v>
      </c>
      <c r="D247" s="8"/>
      <c r="E247" s="9" t="s">
        <v>316</v>
      </c>
      <c r="F247" s="6" t="s">
        <v>240</v>
      </c>
      <c r="G247" s="10">
        <v>45565</v>
      </c>
      <c r="H247" s="94">
        <v>170.8</v>
      </c>
      <c r="I247" s="10">
        <v>45596</v>
      </c>
      <c r="J247" s="94">
        <v>290.3</v>
      </c>
      <c r="K247" s="106">
        <v>1</v>
      </c>
      <c r="L247" s="48">
        <f>J247-H247</f>
        <v>119.5</v>
      </c>
      <c r="M247" s="82">
        <f>M245</f>
        <v>8.2268399999999993</v>
      </c>
      <c r="N247" s="103">
        <f>L247*M247</f>
        <v>983.10737999999992</v>
      </c>
      <c r="O247" s="11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99999999999999" customHeight="1" x14ac:dyDescent="0.3">
      <c r="A248" s="2"/>
      <c r="B248" s="6">
        <v>3</v>
      </c>
      <c r="C248" s="93" t="s">
        <v>317</v>
      </c>
      <c r="D248" s="8"/>
      <c r="E248" s="9" t="s">
        <v>283</v>
      </c>
      <c r="F248" s="6" t="s">
        <v>240</v>
      </c>
      <c r="G248" s="10">
        <v>45565</v>
      </c>
      <c r="H248" s="94">
        <v>28426.799999999999</v>
      </c>
      <c r="I248" s="10">
        <v>45596</v>
      </c>
      <c r="J248" s="94">
        <v>28439.7</v>
      </c>
      <c r="K248" s="47">
        <v>1</v>
      </c>
      <c r="L248" s="48">
        <f>J248-H248</f>
        <v>12.900000000001455</v>
      </c>
      <c r="M248" s="82">
        <f>M247</f>
        <v>8.2268399999999993</v>
      </c>
      <c r="N248" s="105">
        <f>L248*M248</f>
        <v>106.12623600001196</v>
      </c>
      <c r="O248" s="95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99999999999999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99999999999999" customHeight="1" x14ac:dyDescent="0.3">
      <c r="A250" s="2"/>
      <c r="B250" s="458" t="s">
        <v>318</v>
      </c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99999999999999" customHeight="1" x14ac:dyDescent="0.3">
      <c r="A251" s="2"/>
      <c r="B251" s="459" t="s">
        <v>224</v>
      </c>
      <c r="C251" s="459"/>
      <c r="D251" s="3"/>
      <c r="E251" s="460" t="s">
        <v>275</v>
      </c>
      <c r="F251" s="460"/>
      <c r="G251" s="460"/>
      <c r="H251" s="460"/>
      <c r="I251" s="460"/>
      <c r="J251" s="460"/>
      <c r="K251" s="460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99999999999999" customHeight="1" x14ac:dyDescent="0.3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99999999999999" customHeight="1" x14ac:dyDescent="0.3">
      <c r="A253" s="2"/>
      <c r="B253" s="453" t="s">
        <v>227</v>
      </c>
      <c r="C253" s="453" t="s">
        <v>228</v>
      </c>
      <c r="D253" s="453" t="s">
        <v>229</v>
      </c>
      <c r="E253" s="454" t="s">
        <v>230</v>
      </c>
      <c r="F253" s="454" t="s">
        <v>231</v>
      </c>
      <c r="G253" s="454" t="s">
        <v>232</v>
      </c>
      <c r="H253" s="454"/>
      <c r="I253" s="454"/>
      <c r="J253" s="454"/>
      <c r="K253" s="454" t="s">
        <v>9</v>
      </c>
      <c r="L253" s="454" t="s">
        <v>292</v>
      </c>
      <c r="M253" s="455" t="s">
        <v>293</v>
      </c>
      <c r="N253" s="453" t="s">
        <v>18</v>
      </c>
      <c r="O253" s="453" t="s">
        <v>297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99999999999999" customHeight="1" x14ac:dyDescent="0.3">
      <c r="A254" s="2"/>
      <c r="B254" s="453"/>
      <c r="C254" s="453"/>
      <c r="D254" s="453"/>
      <c r="E254" s="454"/>
      <c r="F254" s="454"/>
      <c r="G254" s="7" t="s">
        <v>235</v>
      </c>
      <c r="H254" s="6" t="s">
        <v>236</v>
      </c>
      <c r="I254" s="7" t="s">
        <v>235</v>
      </c>
      <c r="J254" s="6" t="s">
        <v>236</v>
      </c>
      <c r="K254" s="454"/>
      <c r="L254" s="454"/>
      <c r="M254" s="454"/>
      <c r="N254" s="454"/>
      <c r="O254" s="454" t="s">
        <v>297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99999999999999" customHeight="1" x14ac:dyDescent="0.3">
      <c r="A255" s="2"/>
      <c r="B255" s="451">
        <v>1</v>
      </c>
      <c r="C255" s="456" t="s">
        <v>309</v>
      </c>
      <c r="D255" s="456"/>
      <c r="E255" s="9" t="s">
        <v>314</v>
      </c>
      <c r="F255" s="6" t="s">
        <v>240</v>
      </c>
      <c r="G255" s="10">
        <v>45596</v>
      </c>
      <c r="H255" s="94">
        <v>520.20000000000005</v>
      </c>
      <c r="I255" s="10">
        <v>45626</v>
      </c>
      <c r="J255" s="94">
        <v>802.6</v>
      </c>
      <c r="K255" s="47">
        <v>1</v>
      </c>
      <c r="L255" s="79">
        <f>J255-H255</f>
        <v>282.39999999999998</v>
      </c>
      <c r="M255" s="82" t="e">
        <f>[2]Арендаторы!M35</f>
        <v>#REF!</v>
      </c>
      <c r="N255" s="102" t="e">
        <f>L255*M255</f>
        <v>#REF!</v>
      </c>
      <c r="O255" s="11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99999999999999" customHeight="1" x14ac:dyDescent="0.3">
      <c r="A256" s="2"/>
      <c r="B256" s="452"/>
      <c r="C256" s="457"/>
      <c r="D256" s="457"/>
      <c r="E256" s="9" t="s">
        <v>305</v>
      </c>
      <c r="F256" s="6" t="s">
        <v>279</v>
      </c>
      <c r="G256" s="10">
        <v>45596</v>
      </c>
      <c r="H256" s="94">
        <v>1687.5</v>
      </c>
      <c r="I256" s="10">
        <v>45626</v>
      </c>
      <c r="J256" s="94">
        <v>1690.48</v>
      </c>
      <c r="K256" s="47">
        <v>1</v>
      </c>
      <c r="L256" s="79">
        <f>J256-H256</f>
        <v>2.9800000000000182</v>
      </c>
      <c r="M256" s="82">
        <v>62.783999999999999</v>
      </c>
      <c r="N256" s="102">
        <f>L256*M256</f>
        <v>187.09632000000113</v>
      </c>
      <c r="O256" s="11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99999999999999" customHeight="1" x14ac:dyDescent="0.3">
      <c r="A257" s="2"/>
      <c r="B257" s="6">
        <v>2</v>
      </c>
      <c r="C257" s="93" t="s">
        <v>315</v>
      </c>
      <c r="D257" s="8"/>
      <c r="E257" s="9" t="s">
        <v>316</v>
      </c>
      <c r="F257" s="6" t="s">
        <v>240</v>
      </c>
      <c r="G257" s="10">
        <v>45596</v>
      </c>
      <c r="H257" s="94">
        <v>290.3</v>
      </c>
      <c r="I257" s="10">
        <v>45626</v>
      </c>
      <c r="J257" s="94">
        <v>394.7</v>
      </c>
      <c r="K257" s="106">
        <v>1</v>
      </c>
      <c r="L257" s="48">
        <f>J257-H257</f>
        <v>104.39999999999998</v>
      </c>
      <c r="M257" s="82" t="e">
        <f>M255</f>
        <v>#REF!</v>
      </c>
      <c r="N257" s="103" t="e">
        <f>L257*M257</f>
        <v>#REF!</v>
      </c>
      <c r="O257" s="11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99999999999999" customHeight="1" x14ac:dyDescent="0.3">
      <c r="A258" s="2"/>
      <c r="B258" s="6">
        <v>3</v>
      </c>
      <c r="C258" s="93" t="s">
        <v>319</v>
      </c>
      <c r="D258" s="8"/>
      <c r="E258" s="9" t="s">
        <v>283</v>
      </c>
      <c r="F258" s="6" t="s">
        <v>240</v>
      </c>
      <c r="G258" s="10">
        <v>45596</v>
      </c>
      <c r="H258" s="94">
        <v>28439.7</v>
      </c>
      <c r="I258" s="10">
        <v>45617</v>
      </c>
      <c r="J258" s="94">
        <v>28451.9</v>
      </c>
      <c r="K258" s="47">
        <v>1</v>
      </c>
      <c r="L258" s="48">
        <f>J258-H258</f>
        <v>12.200000000000728</v>
      </c>
      <c r="M258" s="82" t="e">
        <f>M257</f>
        <v>#REF!</v>
      </c>
      <c r="N258" s="105" t="e">
        <f>L258*M258</f>
        <v>#REF!</v>
      </c>
      <c r="O258" s="95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99999999999999" customHeight="1" x14ac:dyDescent="0.3">
      <c r="A259" s="2"/>
      <c r="B259" s="6">
        <v>4</v>
      </c>
      <c r="C259" s="114" t="s">
        <v>320</v>
      </c>
      <c r="D259" s="8"/>
      <c r="E259" s="9" t="s">
        <v>283</v>
      </c>
      <c r="F259" s="6" t="s">
        <v>240</v>
      </c>
      <c r="G259" s="10">
        <v>45617</v>
      </c>
      <c r="H259" s="94">
        <v>28451.9</v>
      </c>
      <c r="I259" s="10">
        <v>45626</v>
      </c>
      <c r="J259" s="94">
        <v>28455.599999999999</v>
      </c>
      <c r="K259" s="47">
        <v>1</v>
      </c>
      <c r="L259" s="79">
        <f>J259-H259</f>
        <v>3.6999999999970896</v>
      </c>
      <c r="M259" s="82" t="e">
        <f>M257</f>
        <v>#REF!</v>
      </c>
      <c r="N259" s="102" t="e">
        <f>L259*M259</f>
        <v>#REF!</v>
      </c>
      <c r="O259" s="12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99999999999999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99999999999999" customHeight="1" x14ac:dyDescent="0.3">
      <c r="A261" s="2"/>
      <c r="B261" s="458" t="s">
        <v>321</v>
      </c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99999999999999" customHeight="1" x14ac:dyDescent="0.3">
      <c r="A262" s="2"/>
      <c r="B262" s="459" t="s">
        <v>224</v>
      </c>
      <c r="C262" s="459"/>
      <c r="D262" s="3"/>
      <c r="E262" s="460" t="s">
        <v>275</v>
      </c>
      <c r="F262" s="460"/>
      <c r="G262" s="460"/>
      <c r="H262" s="460"/>
      <c r="I262" s="460"/>
      <c r="J262" s="460"/>
      <c r="K262" s="460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99999999999999" customHeight="1" x14ac:dyDescent="0.3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99999999999999" customHeight="1" x14ac:dyDescent="0.3">
      <c r="A264" s="2"/>
      <c r="B264" s="453" t="s">
        <v>227</v>
      </c>
      <c r="C264" s="453" t="s">
        <v>228</v>
      </c>
      <c r="D264" s="453" t="s">
        <v>229</v>
      </c>
      <c r="E264" s="454" t="s">
        <v>230</v>
      </c>
      <c r="F264" s="454" t="s">
        <v>231</v>
      </c>
      <c r="G264" s="454" t="s">
        <v>232</v>
      </c>
      <c r="H264" s="454"/>
      <c r="I264" s="454"/>
      <c r="J264" s="454"/>
      <c r="K264" s="454" t="s">
        <v>9</v>
      </c>
      <c r="L264" s="454" t="s">
        <v>292</v>
      </c>
      <c r="M264" s="455" t="s">
        <v>293</v>
      </c>
      <c r="N264" s="453" t="s">
        <v>18</v>
      </c>
      <c r="O264" s="453" t="s">
        <v>297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99999999999999" customHeight="1" x14ac:dyDescent="0.3">
      <c r="A265" s="2"/>
      <c r="B265" s="453"/>
      <c r="C265" s="453"/>
      <c r="D265" s="453"/>
      <c r="E265" s="454"/>
      <c r="F265" s="454"/>
      <c r="G265" s="7" t="s">
        <v>235</v>
      </c>
      <c r="H265" s="6" t="s">
        <v>236</v>
      </c>
      <c r="I265" s="7" t="s">
        <v>235</v>
      </c>
      <c r="J265" s="6" t="s">
        <v>236</v>
      </c>
      <c r="K265" s="454"/>
      <c r="L265" s="454"/>
      <c r="M265" s="454"/>
      <c r="N265" s="454"/>
      <c r="O265" s="454" t="s">
        <v>297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99999999999999" customHeight="1" x14ac:dyDescent="0.3">
      <c r="A266" s="2"/>
      <c r="B266" s="451">
        <v>1</v>
      </c>
      <c r="C266" s="456" t="s">
        <v>309</v>
      </c>
      <c r="D266" s="456"/>
      <c r="E266" s="9" t="s">
        <v>314</v>
      </c>
      <c r="F266" s="6" t="s">
        <v>240</v>
      </c>
      <c r="G266" s="10">
        <v>45626</v>
      </c>
      <c r="H266" s="94">
        <v>802.6</v>
      </c>
      <c r="I266" s="10">
        <v>45657</v>
      </c>
      <c r="J266" s="94">
        <v>1146</v>
      </c>
      <c r="K266" s="47">
        <v>1</v>
      </c>
      <c r="L266" s="79">
        <f>J266-H266</f>
        <v>343.4</v>
      </c>
      <c r="M266" s="82">
        <v>8.7144960536425202</v>
      </c>
      <c r="N266" s="102">
        <f>L266*M266</f>
        <v>2992.5579448208414</v>
      </c>
      <c r="O266" s="11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99999999999999" customHeight="1" x14ac:dyDescent="0.3">
      <c r="A267" s="2"/>
      <c r="B267" s="452"/>
      <c r="C267" s="457"/>
      <c r="D267" s="457"/>
      <c r="E267" s="9" t="s">
        <v>305</v>
      </c>
      <c r="F267" s="6" t="s">
        <v>279</v>
      </c>
      <c r="G267" s="10">
        <v>45626</v>
      </c>
      <c r="H267" s="94">
        <v>1690.48</v>
      </c>
      <c r="I267" s="10">
        <v>45657</v>
      </c>
      <c r="J267" s="94">
        <v>1693.76</v>
      </c>
      <c r="K267" s="47">
        <v>1</v>
      </c>
      <c r="L267" s="79">
        <f>J267-H267</f>
        <v>3.2799999999999727</v>
      </c>
      <c r="M267" s="82">
        <v>57.3754285714286</v>
      </c>
      <c r="N267" s="102">
        <f>L267*M267</f>
        <v>188.19140571428423</v>
      </c>
      <c r="O267" s="11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99999999999999" customHeight="1" x14ac:dyDescent="0.3">
      <c r="A268" s="2"/>
      <c r="B268" s="6">
        <v>2</v>
      </c>
      <c r="C268" s="93" t="s">
        <v>315</v>
      </c>
      <c r="D268" s="8"/>
      <c r="E268" s="9" t="s">
        <v>316</v>
      </c>
      <c r="F268" s="6" t="s">
        <v>240</v>
      </c>
      <c r="G268" s="10">
        <v>45626</v>
      </c>
      <c r="H268" s="94">
        <v>394.7</v>
      </c>
      <c r="I268" s="10">
        <v>45657</v>
      </c>
      <c r="J268" s="94">
        <v>490.6</v>
      </c>
      <c r="K268" s="106">
        <v>1</v>
      </c>
      <c r="L268" s="48">
        <f>J268-H268</f>
        <v>95.900000000000034</v>
      </c>
      <c r="M268" s="82">
        <f>M266</f>
        <v>8.7144960536425202</v>
      </c>
      <c r="N268" s="103">
        <f>L268*M268</f>
        <v>835.72017154431796</v>
      </c>
      <c r="O268" s="11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s="90" customFormat="1" ht="16.899999999999999" customHeight="1" x14ac:dyDescent="0.25">
      <c r="A269" s="115"/>
      <c r="B269" s="116">
        <v>3</v>
      </c>
      <c r="C269" s="114" t="s">
        <v>320</v>
      </c>
      <c r="D269" s="117"/>
      <c r="E269" s="114" t="s">
        <v>283</v>
      </c>
      <c r="F269" s="116" t="s">
        <v>240</v>
      </c>
      <c r="G269" s="118">
        <v>45626</v>
      </c>
      <c r="H269" s="119">
        <v>28455.599999999999</v>
      </c>
      <c r="I269" s="118">
        <v>45657</v>
      </c>
      <c r="J269" s="119">
        <v>28643.599999999999</v>
      </c>
      <c r="K269" s="121">
        <v>1</v>
      </c>
      <c r="L269" s="122">
        <f>J269-H269</f>
        <v>188</v>
      </c>
      <c r="M269" s="123">
        <f>M266</f>
        <v>8.7144960536425202</v>
      </c>
      <c r="N269" s="124">
        <f>L269*M269</f>
        <v>1638.3252580847939</v>
      </c>
      <c r="O269" s="12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6.899999999999999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99999999999999" customHeight="1" x14ac:dyDescent="0.3">
      <c r="A271" s="2"/>
      <c r="B271" s="458" t="s">
        <v>322</v>
      </c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99999999999999" customHeight="1" x14ac:dyDescent="0.3">
      <c r="A272" s="2"/>
      <c r="B272" s="459" t="s">
        <v>224</v>
      </c>
      <c r="C272" s="459"/>
      <c r="D272" s="3"/>
      <c r="E272" s="460" t="s">
        <v>275</v>
      </c>
      <c r="F272" s="460"/>
      <c r="G272" s="460"/>
      <c r="H272" s="460"/>
      <c r="I272" s="460"/>
      <c r="J272" s="460"/>
      <c r="K272" s="460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99999999999999" customHeight="1" x14ac:dyDescent="0.3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99999999999999" customHeight="1" x14ac:dyDescent="0.3">
      <c r="A274" s="2"/>
      <c r="B274" s="453" t="s">
        <v>227</v>
      </c>
      <c r="C274" s="453" t="s">
        <v>228</v>
      </c>
      <c r="D274" s="453" t="s">
        <v>229</v>
      </c>
      <c r="E274" s="454" t="s">
        <v>230</v>
      </c>
      <c r="F274" s="454" t="s">
        <v>231</v>
      </c>
      <c r="G274" s="454" t="s">
        <v>232</v>
      </c>
      <c r="H274" s="454"/>
      <c r="I274" s="454"/>
      <c r="J274" s="454"/>
      <c r="K274" s="454" t="s">
        <v>9</v>
      </c>
      <c r="L274" s="454" t="s">
        <v>292</v>
      </c>
      <c r="M274" s="455" t="s">
        <v>293</v>
      </c>
      <c r="N274" s="453" t="s">
        <v>18</v>
      </c>
      <c r="O274" s="453" t="s">
        <v>297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99999999999999" customHeight="1" x14ac:dyDescent="0.3">
      <c r="A275" s="2"/>
      <c r="B275" s="453"/>
      <c r="C275" s="453"/>
      <c r="D275" s="453"/>
      <c r="E275" s="454"/>
      <c r="F275" s="454"/>
      <c r="G275" s="7" t="s">
        <v>235</v>
      </c>
      <c r="H275" s="6" t="s">
        <v>236</v>
      </c>
      <c r="I275" s="7" t="s">
        <v>235</v>
      </c>
      <c r="J275" s="6" t="s">
        <v>236</v>
      </c>
      <c r="K275" s="454"/>
      <c r="L275" s="454"/>
      <c r="M275" s="454"/>
      <c r="N275" s="454"/>
      <c r="O275" s="454" t="s">
        <v>297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99999999999999" customHeight="1" x14ac:dyDescent="0.3">
      <c r="A276" s="2"/>
      <c r="B276" s="451">
        <v>1</v>
      </c>
      <c r="C276" s="456" t="s">
        <v>309</v>
      </c>
      <c r="D276" s="456"/>
      <c r="E276" s="9" t="s">
        <v>314</v>
      </c>
      <c r="F276" s="6" t="s">
        <v>240</v>
      </c>
      <c r="G276" s="10">
        <v>45657</v>
      </c>
      <c r="H276" s="94">
        <v>1146</v>
      </c>
      <c r="I276" s="10">
        <v>45688</v>
      </c>
      <c r="J276" s="94">
        <v>1549.8</v>
      </c>
      <c r="K276" s="47">
        <v>1</v>
      </c>
      <c r="L276" s="79">
        <f>J276-H276</f>
        <v>403.79999999999995</v>
      </c>
      <c r="M276" s="82">
        <v>8.7144960536425202</v>
      </c>
      <c r="N276" s="102">
        <f>L276*M276</f>
        <v>3518.9135064608495</v>
      </c>
      <c r="O276" s="126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99999999999999" customHeight="1" x14ac:dyDescent="0.3">
      <c r="A277" s="2"/>
      <c r="B277" s="452"/>
      <c r="C277" s="457"/>
      <c r="D277" s="457"/>
      <c r="E277" s="9" t="s">
        <v>305</v>
      </c>
      <c r="F277" s="6" t="s">
        <v>279</v>
      </c>
      <c r="G277" s="10">
        <v>45657</v>
      </c>
      <c r="H277" s="94">
        <v>1693.76</v>
      </c>
      <c r="I277" s="10">
        <v>45688</v>
      </c>
      <c r="J277" s="94">
        <v>1697.66</v>
      </c>
      <c r="K277" s="47">
        <v>1</v>
      </c>
      <c r="L277" s="79">
        <f>J277-H277</f>
        <v>3.9000000000000909</v>
      </c>
      <c r="M277" s="82">
        <v>57.3754285714286</v>
      </c>
      <c r="N277" s="102">
        <f>L277*M277</f>
        <v>223.76417142857676</v>
      </c>
      <c r="O277" s="126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99999999999999" customHeight="1" x14ac:dyDescent="0.3">
      <c r="A278" s="2"/>
      <c r="B278" s="6">
        <v>2</v>
      </c>
      <c r="C278" s="93" t="s">
        <v>315</v>
      </c>
      <c r="D278" s="8"/>
      <c r="E278" s="9" t="s">
        <v>316</v>
      </c>
      <c r="F278" s="6" t="s">
        <v>240</v>
      </c>
      <c r="G278" s="10">
        <v>45657</v>
      </c>
      <c r="H278" s="94">
        <v>490.6</v>
      </c>
      <c r="I278" s="10">
        <v>45688</v>
      </c>
      <c r="J278" s="94">
        <v>599</v>
      </c>
      <c r="K278" s="106">
        <v>1</v>
      </c>
      <c r="L278" s="48">
        <f>J278-H278</f>
        <v>108.39999999999998</v>
      </c>
      <c r="M278" s="82">
        <f>M276</f>
        <v>8.7144960536425202</v>
      </c>
      <c r="N278" s="103">
        <f>L278*M278</f>
        <v>944.65137221484895</v>
      </c>
      <c r="O278" s="126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99999999999999" customHeight="1" x14ac:dyDescent="0.3">
      <c r="A279" s="2"/>
      <c r="B279" s="116">
        <v>3</v>
      </c>
      <c r="C279" s="114" t="s">
        <v>323</v>
      </c>
      <c r="D279" s="117"/>
      <c r="E279" s="114" t="s">
        <v>283</v>
      </c>
      <c r="F279" s="116" t="s">
        <v>240</v>
      </c>
      <c r="G279" s="118">
        <v>45657</v>
      </c>
      <c r="H279" s="119">
        <v>28643.599999999999</v>
      </c>
      <c r="I279" s="10">
        <v>45688</v>
      </c>
      <c r="J279" s="119">
        <v>28981.5</v>
      </c>
      <c r="K279" s="121">
        <v>1</v>
      </c>
      <c r="L279" s="122">
        <f>J279-H279</f>
        <v>337.90000000000146</v>
      </c>
      <c r="M279" s="123">
        <f>M276</f>
        <v>8.7144960536425202</v>
      </c>
      <c r="N279" s="124">
        <f>L279*M279</f>
        <v>2944.6282165258203</v>
      </c>
      <c r="O279" s="127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99999999999999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99999999999999" customHeight="1" x14ac:dyDescent="0.3">
      <c r="A281" s="2"/>
      <c r="B281" s="458" t="s">
        <v>324</v>
      </c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99999999999999" customHeight="1" x14ac:dyDescent="0.3">
      <c r="A282" s="2"/>
      <c r="B282" s="459" t="s">
        <v>224</v>
      </c>
      <c r="C282" s="459"/>
      <c r="D282" s="3"/>
      <c r="E282" s="460" t="s">
        <v>275</v>
      </c>
      <c r="F282" s="460"/>
      <c r="G282" s="460"/>
      <c r="H282" s="460"/>
      <c r="I282" s="460"/>
      <c r="J282" s="460"/>
      <c r="K282" s="460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99999999999999" customHeight="1" x14ac:dyDescent="0.3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99999999999999" customHeight="1" x14ac:dyDescent="0.3">
      <c r="A284" s="2"/>
      <c r="B284" s="453" t="s">
        <v>227</v>
      </c>
      <c r="C284" s="453" t="s">
        <v>228</v>
      </c>
      <c r="D284" s="453" t="s">
        <v>229</v>
      </c>
      <c r="E284" s="454" t="s">
        <v>230</v>
      </c>
      <c r="F284" s="454" t="s">
        <v>231</v>
      </c>
      <c r="G284" s="454" t="s">
        <v>232</v>
      </c>
      <c r="H284" s="454"/>
      <c r="I284" s="454"/>
      <c r="J284" s="454"/>
      <c r="K284" s="454" t="s">
        <v>9</v>
      </c>
      <c r="L284" s="454" t="s">
        <v>292</v>
      </c>
      <c r="M284" s="455" t="s">
        <v>293</v>
      </c>
      <c r="N284" s="453" t="s">
        <v>18</v>
      </c>
      <c r="O284" s="453" t="s">
        <v>297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99999999999999" customHeight="1" x14ac:dyDescent="0.3">
      <c r="A285" s="2"/>
      <c r="B285" s="453"/>
      <c r="C285" s="453"/>
      <c r="D285" s="453"/>
      <c r="E285" s="454"/>
      <c r="F285" s="454"/>
      <c r="G285" s="7" t="s">
        <v>235</v>
      </c>
      <c r="H285" s="6" t="s">
        <v>236</v>
      </c>
      <c r="I285" s="7" t="s">
        <v>235</v>
      </c>
      <c r="J285" s="6" t="s">
        <v>236</v>
      </c>
      <c r="K285" s="454"/>
      <c r="L285" s="454"/>
      <c r="M285" s="454"/>
      <c r="N285" s="454"/>
      <c r="O285" s="454" t="s">
        <v>297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99999999999999" customHeight="1" x14ac:dyDescent="0.3">
      <c r="A286" s="2"/>
      <c r="B286" s="451">
        <v>1</v>
      </c>
      <c r="C286" s="456" t="s">
        <v>309</v>
      </c>
      <c r="D286" s="456"/>
      <c r="E286" s="9" t="s">
        <v>314</v>
      </c>
      <c r="F286" s="6" t="s">
        <v>240</v>
      </c>
      <c r="G286" s="10">
        <v>45688</v>
      </c>
      <c r="H286" s="94">
        <v>1549.8</v>
      </c>
      <c r="I286" s="10">
        <v>45716</v>
      </c>
      <c r="J286" s="94">
        <v>2052</v>
      </c>
      <c r="K286" s="47">
        <v>1</v>
      </c>
      <c r="L286" s="79">
        <f>J286-H286</f>
        <v>502.20000000000005</v>
      </c>
      <c r="M286" s="82">
        <v>9.2773319999999995</v>
      </c>
      <c r="N286" s="102">
        <f>L286*M286</f>
        <v>4659.0761303999998</v>
      </c>
      <c r="O286" s="126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99999999999999" customHeight="1" x14ac:dyDescent="0.3">
      <c r="A287" s="2"/>
      <c r="B287" s="452"/>
      <c r="C287" s="457"/>
      <c r="D287" s="457"/>
      <c r="E287" s="9" t="s">
        <v>305</v>
      </c>
      <c r="F287" s="6" t="s">
        <v>279</v>
      </c>
      <c r="G287" s="10">
        <v>45688</v>
      </c>
      <c r="H287" s="94">
        <v>1697.66</v>
      </c>
      <c r="I287" s="10">
        <v>45716</v>
      </c>
      <c r="J287" s="94">
        <v>1701</v>
      </c>
      <c r="K287" s="47">
        <v>1</v>
      </c>
      <c r="L287" s="79">
        <f>J287-H287</f>
        <v>3.3399999999999181</v>
      </c>
      <c r="M287" s="82">
        <v>57.3754285714286</v>
      </c>
      <c r="N287" s="102">
        <f>L287*M287</f>
        <v>191.63393142856683</v>
      </c>
      <c r="O287" s="126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99999999999999" customHeight="1" x14ac:dyDescent="0.3">
      <c r="A288" s="2"/>
      <c r="B288" s="6">
        <v>2</v>
      </c>
      <c r="C288" s="93" t="s">
        <v>315</v>
      </c>
      <c r="D288" s="8"/>
      <c r="E288" s="9" t="s">
        <v>316</v>
      </c>
      <c r="F288" s="6" t="s">
        <v>240</v>
      </c>
      <c r="G288" s="10">
        <v>45688</v>
      </c>
      <c r="H288" s="94">
        <v>599</v>
      </c>
      <c r="I288" s="10">
        <v>45716</v>
      </c>
      <c r="J288" s="94">
        <v>728</v>
      </c>
      <c r="K288" s="106">
        <v>1</v>
      </c>
      <c r="L288" s="48">
        <f>J288-H288</f>
        <v>129</v>
      </c>
      <c r="M288" s="82">
        <f>M286</f>
        <v>9.2773319999999995</v>
      </c>
      <c r="N288" s="103">
        <f>L288*M288</f>
        <v>1196.7758279999998</v>
      </c>
      <c r="O288" s="126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99999999999999" customHeight="1" x14ac:dyDescent="0.3">
      <c r="A289" s="2"/>
      <c r="B289" s="116">
        <v>3</v>
      </c>
      <c r="C289" s="114" t="s">
        <v>323</v>
      </c>
      <c r="D289" s="117"/>
      <c r="E289" s="114" t="s">
        <v>283</v>
      </c>
      <c r="F289" s="116" t="s">
        <v>240</v>
      </c>
      <c r="G289" s="10">
        <v>45688</v>
      </c>
      <c r="H289" s="119">
        <v>28981.5</v>
      </c>
      <c r="I289" s="10">
        <v>45716</v>
      </c>
      <c r="J289" s="119">
        <v>29276</v>
      </c>
      <c r="K289" s="121">
        <v>1</v>
      </c>
      <c r="L289" s="122">
        <f>J289-H289</f>
        <v>294.5</v>
      </c>
      <c r="M289" s="123">
        <f>M286</f>
        <v>9.2773319999999995</v>
      </c>
      <c r="N289" s="124">
        <f>L289*M289</f>
        <v>2732.174274</v>
      </c>
      <c r="O289" s="127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99999999999999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99999999999999" customHeight="1" x14ac:dyDescent="0.3">
      <c r="A291" s="2"/>
      <c r="B291" s="458" t="s">
        <v>325</v>
      </c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99999999999999" customHeight="1" x14ac:dyDescent="0.3">
      <c r="A292" s="2"/>
      <c r="B292" s="459" t="s">
        <v>224</v>
      </c>
      <c r="C292" s="459"/>
      <c r="D292" s="3"/>
      <c r="E292" s="460" t="s">
        <v>275</v>
      </c>
      <c r="F292" s="460"/>
      <c r="G292" s="460"/>
      <c r="H292" s="460"/>
      <c r="I292" s="460"/>
      <c r="J292" s="460"/>
      <c r="K292" s="460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99999999999999" customHeight="1" x14ac:dyDescent="0.3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99999999999999" customHeight="1" x14ac:dyDescent="0.3">
      <c r="A294" s="2"/>
      <c r="B294" s="453" t="s">
        <v>227</v>
      </c>
      <c r="C294" s="453" t="s">
        <v>228</v>
      </c>
      <c r="D294" s="453" t="s">
        <v>229</v>
      </c>
      <c r="E294" s="454" t="s">
        <v>230</v>
      </c>
      <c r="F294" s="454" t="s">
        <v>231</v>
      </c>
      <c r="G294" s="454" t="s">
        <v>232</v>
      </c>
      <c r="H294" s="454"/>
      <c r="I294" s="454"/>
      <c r="J294" s="454"/>
      <c r="K294" s="454" t="s">
        <v>9</v>
      </c>
      <c r="L294" s="454" t="s">
        <v>292</v>
      </c>
      <c r="M294" s="455" t="s">
        <v>293</v>
      </c>
      <c r="N294" s="453" t="s">
        <v>18</v>
      </c>
      <c r="O294" s="453" t="s">
        <v>297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99999999999999" customHeight="1" x14ac:dyDescent="0.3">
      <c r="A295" s="2"/>
      <c r="B295" s="453"/>
      <c r="C295" s="453"/>
      <c r="D295" s="453"/>
      <c r="E295" s="454"/>
      <c r="F295" s="454"/>
      <c r="G295" s="7" t="s">
        <v>235</v>
      </c>
      <c r="H295" s="6" t="s">
        <v>236</v>
      </c>
      <c r="I295" s="7" t="s">
        <v>235</v>
      </c>
      <c r="J295" s="6" t="s">
        <v>236</v>
      </c>
      <c r="K295" s="454"/>
      <c r="L295" s="454"/>
      <c r="M295" s="454"/>
      <c r="N295" s="454"/>
      <c r="O295" s="454" t="s">
        <v>297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99999999999999" customHeight="1" x14ac:dyDescent="0.3">
      <c r="A296" s="2"/>
      <c r="B296" s="451">
        <v>1</v>
      </c>
      <c r="C296" s="456" t="s">
        <v>309</v>
      </c>
      <c r="D296" s="456"/>
      <c r="E296" s="9" t="s">
        <v>314</v>
      </c>
      <c r="F296" s="6" t="s">
        <v>240</v>
      </c>
      <c r="G296" s="10">
        <v>45716</v>
      </c>
      <c r="H296" s="94">
        <v>2052</v>
      </c>
      <c r="I296" s="10">
        <v>45747</v>
      </c>
      <c r="J296" s="94">
        <v>2448</v>
      </c>
      <c r="K296" s="47">
        <v>1</v>
      </c>
      <c r="L296" s="79">
        <f>J296-H296</f>
        <v>396</v>
      </c>
      <c r="M296" s="82">
        <v>8.1683877518641896</v>
      </c>
      <c r="N296" s="102">
        <f>L296*M296</f>
        <v>3234.681549738219</v>
      </c>
      <c r="O296" s="126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99999999999999" customHeight="1" x14ac:dyDescent="0.3">
      <c r="A297" s="2"/>
      <c r="B297" s="452"/>
      <c r="C297" s="457"/>
      <c r="D297" s="457"/>
      <c r="E297" s="9" t="s">
        <v>305</v>
      </c>
      <c r="F297" s="6" t="s">
        <v>279</v>
      </c>
      <c r="G297" s="10">
        <v>45716</v>
      </c>
      <c r="H297" s="94">
        <v>1701</v>
      </c>
      <c r="I297" s="10">
        <v>45747</v>
      </c>
      <c r="J297" s="94">
        <v>1704</v>
      </c>
      <c r="K297" s="47">
        <v>1</v>
      </c>
      <c r="L297" s="79">
        <f>J297-H297</f>
        <v>3</v>
      </c>
      <c r="M297" s="82">
        <v>57.3754285714286</v>
      </c>
      <c r="N297" s="102">
        <f>L297*M297</f>
        <v>172.12628571428581</v>
      </c>
      <c r="O297" s="126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99999999999999" customHeight="1" x14ac:dyDescent="0.3">
      <c r="A298" s="2"/>
      <c r="B298" s="6">
        <v>2</v>
      </c>
      <c r="C298" s="93" t="s">
        <v>315</v>
      </c>
      <c r="D298" s="8"/>
      <c r="E298" s="9" t="s">
        <v>316</v>
      </c>
      <c r="F298" s="6" t="s">
        <v>240</v>
      </c>
      <c r="G298" s="10">
        <v>45716</v>
      </c>
      <c r="H298" s="94">
        <v>728</v>
      </c>
      <c r="I298" s="10">
        <v>45747</v>
      </c>
      <c r="J298" s="94">
        <v>836</v>
      </c>
      <c r="K298" s="106">
        <v>1</v>
      </c>
      <c r="L298" s="48">
        <f>J298-H298</f>
        <v>108</v>
      </c>
      <c r="M298" s="82">
        <f>M296</f>
        <v>8.1683877518641896</v>
      </c>
      <c r="N298" s="103">
        <f>L298*M298</f>
        <v>882.18587720133246</v>
      </c>
      <c r="O298" s="126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99999999999999" customHeight="1" x14ac:dyDescent="0.3">
      <c r="A299" s="2"/>
      <c r="B299" s="116">
        <v>3</v>
      </c>
      <c r="C299" s="114" t="s">
        <v>323</v>
      </c>
      <c r="D299" s="117"/>
      <c r="E299" s="114" t="s">
        <v>283</v>
      </c>
      <c r="F299" s="116" t="s">
        <v>240</v>
      </c>
      <c r="G299" s="10">
        <v>45716</v>
      </c>
      <c r="H299" s="119">
        <v>29276</v>
      </c>
      <c r="I299" s="10">
        <v>45747</v>
      </c>
      <c r="J299" s="119">
        <v>29673</v>
      </c>
      <c r="K299" s="121">
        <v>1</v>
      </c>
      <c r="L299" s="122">
        <f>J299-H299</f>
        <v>397</v>
      </c>
      <c r="M299" s="123">
        <f>M296</f>
        <v>8.1683877518641896</v>
      </c>
      <c r="N299" s="124">
        <f>L299*M299</f>
        <v>3242.8499374900834</v>
      </c>
      <c r="O299" s="127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99999999999999" customHeight="1" x14ac:dyDescent="0.3">
      <c r="A300" s="2"/>
      <c r="B300" s="116"/>
      <c r="C300" s="114"/>
      <c r="D300" s="117"/>
      <c r="E300" s="114"/>
      <c r="F300" s="116"/>
      <c r="G300" s="10"/>
      <c r="H300" s="119"/>
      <c r="I300" s="10"/>
      <c r="J300" s="119"/>
      <c r="K300" s="121"/>
      <c r="L300" s="122"/>
      <c r="M300" s="123"/>
      <c r="N300" s="124"/>
      <c r="O300" s="125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99999999999999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99999999999999" customHeight="1" x14ac:dyDescent="0.3">
      <c r="A302" s="2"/>
      <c r="B302" s="458" t="s">
        <v>326</v>
      </c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99999999999999" customHeight="1" x14ac:dyDescent="0.3">
      <c r="A303" s="2"/>
      <c r="B303" s="459" t="s">
        <v>224</v>
      </c>
      <c r="C303" s="459"/>
      <c r="D303" s="3"/>
      <c r="E303" s="460" t="s">
        <v>275</v>
      </c>
      <c r="F303" s="460"/>
      <c r="G303" s="460"/>
      <c r="H303" s="460"/>
      <c r="I303" s="460"/>
      <c r="J303" s="460"/>
      <c r="K303" s="460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99999999999999" customHeight="1" x14ac:dyDescent="0.3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99999999999999" customHeight="1" x14ac:dyDescent="0.3">
      <c r="A305" s="2"/>
      <c r="B305" s="453" t="s">
        <v>227</v>
      </c>
      <c r="C305" s="453" t="s">
        <v>228</v>
      </c>
      <c r="D305" s="453" t="s">
        <v>229</v>
      </c>
      <c r="E305" s="454" t="s">
        <v>230</v>
      </c>
      <c r="F305" s="454" t="s">
        <v>231</v>
      </c>
      <c r="G305" s="454" t="s">
        <v>232</v>
      </c>
      <c r="H305" s="454"/>
      <c r="I305" s="454"/>
      <c r="J305" s="454"/>
      <c r="K305" s="454" t="s">
        <v>9</v>
      </c>
      <c r="L305" s="454" t="s">
        <v>292</v>
      </c>
      <c r="M305" s="455" t="s">
        <v>293</v>
      </c>
      <c r="N305" s="453" t="s">
        <v>18</v>
      </c>
      <c r="O305" s="453" t="s">
        <v>297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99999999999999" customHeight="1" x14ac:dyDescent="0.3">
      <c r="A306" s="2"/>
      <c r="B306" s="453"/>
      <c r="C306" s="453"/>
      <c r="D306" s="453"/>
      <c r="E306" s="454"/>
      <c r="F306" s="454"/>
      <c r="G306" s="7" t="s">
        <v>235</v>
      </c>
      <c r="H306" s="6" t="s">
        <v>236</v>
      </c>
      <c r="I306" s="7" t="s">
        <v>235</v>
      </c>
      <c r="J306" s="6" t="s">
        <v>236</v>
      </c>
      <c r="K306" s="454"/>
      <c r="L306" s="454"/>
      <c r="M306" s="454"/>
      <c r="N306" s="454"/>
      <c r="O306" s="454" t="s">
        <v>297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99999999999999" customHeight="1" x14ac:dyDescent="0.3">
      <c r="A307" s="2"/>
      <c r="B307" s="451">
        <v>1</v>
      </c>
      <c r="C307" s="456" t="s">
        <v>309</v>
      </c>
      <c r="D307" s="456"/>
      <c r="E307" s="9" t="s">
        <v>314</v>
      </c>
      <c r="F307" s="6" t="s">
        <v>240</v>
      </c>
      <c r="G307" s="10">
        <v>45747</v>
      </c>
      <c r="H307" s="94">
        <v>2448</v>
      </c>
      <c r="I307" s="10">
        <v>45777</v>
      </c>
      <c r="J307" s="94">
        <v>2828</v>
      </c>
      <c r="K307" s="47">
        <v>1</v>
      </c>
      <c r="L307" s="79">
        <f>J307-H307</f>
        <v>380</v>
      </c>
      <c r="M307" s="82">
        <v>7.1310840000000004</v>
      </c>
      <c r="N307" s="102">
        <f>L307*M307</f>
        <v>2709.8119200000001</v>
      </c>
      <c r="O307" s="126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99999999999999" customHeight="1" x14ac:dyDescent="0.3">
      <c r="A308" s="2"/>
      <c r="B308" s="452"/>
      <c r="C308" s="457"/>
      <c r="D308" s="457"/>
      <c r="E308" s="9" t="s">
        <v>305</v>
      </c>
      <c r="F308" s="6" t="s">
        <v>279</v>
      </c>
      <c r="G308" s="10">
        <v>45747</v>
      </c>
      <c r="H308" s="94">
        <v>1704</v>
      </c>
      <c r="I308" s="10">
        <v>45777</v>
      </c>
      <c r="J308" s="94">
        <v>1707</v>
      </c>
      <c r="K308" s="47">
        <v>1</v>
      </c>
      <c r="L308" s="79">
        <f>J308-H308</f>
        <v>3</v>
      </c>
      <c r="M308" s="82">
        <v>57.3754285714286</v>
      </c>
      <c r="N308" s="102">
        <f>L308*M308</f>
        <v>172.12628571428581</v>
      </c>
      <c r="O308" s="126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99999999999999" customHeight="1" x14ac:dyDescent="0.3">
      <c r="A309" s="2"/>
      <c r="B309" s="6">
        <v>2</v>
      </c>
      <c r="C309" s="93" t="s">
        <v>315</v>
      </c>
      <c r="D309" s="8"/>
      <c r="E309" s="9" t="s">
        <v>316</v>
      </c>
      <c r="F309" s="6" t="s">
        <v>240</v>
      </c>
      <c r="G309" s="10">
        <v>45747</v>
      </c>
      <c r="H309" s="94">
        <v>836</v>
      </c>
      <c r="I309" s="10">
        <v>45777</v>
      </c>
      <c r="J309" s="94">
        <v>946</v>
      </c>
      <c r="K309" s="106">
        <v>1</v>
      </c>
      <c r="L309" s="48">
        <f>J309-H309</f>
        <v>110</v>
      </c>
      <c r="M309" s="82">
        <f>M307</f>
        <v>7.1310840000000004</v>
      </c>
      <c r="N309" s="103">
        <f>L309*M309</f>
        <v>784.41924000000006</v>
      </c>
      <c r="O309" s="126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99999999999999" customHeight="1" x14ac:dyDescent="0.3">
      <c r="A310" s="2"/>
      <c r="B310" s="116">
        <v>3</v>
      </c>
      <c r="C310" s="114" t="s">
        <v>323</v>
      </c>
      <c r="D310" s="117"/>
      <c r="E310" s="114" t="s">
        <v>283</v>
      </c>
      <c r="F310" s="116" t="s">
        <v>240</v>
      </c>
      <c r="G310" s="10">
        <v>45747</v>
      </c>
      <c r="H310" s="119">
        <v>29673</v>
      </c>
      <c r="I310" s="10">
        <v>45777</v>
      </c>
      <c r="J310" s="119">
        <v>30084</v>
      </c>
      <c r="K310" s="121">
        <v>1</v>
      </c>
      <c r="L310" s="122">
        <f>J310-H310</f>
        <v>411</v>
      </c>
      <c r="M310" s="123">
        <f>M307</f>
        <v>7.1310840000000004</v>
      </c>
      <c r="N310" s="124">
        <f>L310*M310</f>
        <v>2930.875524</v>
      </c>
      <c r="O310" s="127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99999999999999" customHeight="1" x14ac:dyDescent="0.3">
      <c r="A311" s="2"/>
      <c r="B311" s="116">
        <v>4</v>
      </c>
      <c r="C311" s="114"/>
      <c r="D311" s="117"/>
      <c r="E311" s="114"/>
      <c r="F311" s="116"/>
      <c r="G311" s="10"/>
      <c r="H311" s="119"/>
      <c r="I311" s="10"/>
      <c r="J311" s="119"/>
      <c r="K311" s="121"/>
      <c r="L311" s="122"/>
      <c r="M311" s="123"/>
      <c r="N311" s="124"/>
      <c r="O311" s="125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99999999999999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99999999999999" customHeight="1" x14ac:dyDescent="0.3">
      <c r="A313" s="2"/>
      <c r="B313" s="458" t="s">
        <v>327</v>
      </c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99999999999999" customHeight="1" x14ac:dyDescent="0.3">
      <c r="A314" s="2"/>
      <c r="B314" s="459" t="s">
        <v>224</v>
      </c>
      <c r="C314" s="459"/>
      <c r="D314" s="3"/>
      <c r="E314" s="460" t="s">
        <v>275</v>
      </c>
      <c r="F314" s="460"/>
      <c r="G314" s="460"/>
      <c r="H314" s="460"/>
      <c r="I314" s="460"/>
      <c r="J314" s="460"/>
      <c r="K314" s="460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99999999999999" customHeight="1" x14ac:dyDescent="0.3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99999999999999" customHeight="1" x14ac:dyDescent="0.3">
      <c r="A316" s="2"/>
      <c r="B316" s="453" t="s">
        <v>227</v>
      </c>
      <c r="C316" s="453" t="s">
        <v>228</v>
      </c>
      <c r="D316" s="453" t="s">
        <v>229</v>
      </c>
      <c r="E316" s="454" t="s">
        <v>230</v>
      </c>
      <c r="F316" s="454" t="s">
        <v>231</v>
      </c>
      <c r="G316" s="454" t="s">
        <v>232</v>
      </c>
      <c r="H316" s="454"/>
      <c r="I316" s="454"/>
      <c r="J316" s="454"/>
      <c r="K316" s="454" t="s">
        <v>9</v>
      </c>
      <c r="L316" s="454" t="s">
        <v>292</v>
      </c>
      <c r="M316" s="455" t="s">
        <v>293</v>
      </c>
      <c r="N316" s="453" t="s">
        <v>18</v>
      </c>
      <c r="O316" s="453" t="s">
        <v>297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99999999999999" customHeight="1" x14ac:dyDescent="0.3">
      <c r="A317" s="2"/>
      <c r="B317" s="453"/>
      <c r="C317" s="453"/>
      <c r="D317" s="453"/>
      <c r="E317" s="454"/>
      <c r="F317" s="454"/>
      <c r="G317" s="7" t="s">
        <v>235</v>
      </c>
      <c r="H317" s="6" t="s">
        <v>236</v>
      </c>
      <c r="I317" s="7" t="s">
        <v>235</v>
      </c>
      <c r="J317" s="6" t="s">
        <v>236</v>
      </c>
      <c r="K317" s="454"/>
      <c r="L317" s="454"/>
      <c r="M317" s="454"/>
      <c r="N317" s="454"/>
      <c r="O317" s="454" t="s">
        <v>297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99999999999999" customHeight="1" x14ac:dyDescent="0.3">
      <c r="A318" s="2"/>
      <c r="B318" s="451">
        <v>1</v>
      </c>
      <c r="C318" s="456" t="s">
        <v>309</v>
      </c>
      <c r="D318" s="456"/>
      <c r="E318" s="9" t="s">
        <v>314</v>
      </c>
      <c r="F318" s="6" t="s">
        <v>240</v>
      </c>
      <c r="G318" s="10">
        <v>45777</v>
      </c>
      <c r="H318" s="94">
        <v>2828</v>
      </c>
      <c r="I318" s="10">
        <v>45808</v>
      </c>
      <c r="J318" s="94">
        <v>3215</v>
      </c>
      <c r="K318" s="47">
        <v>1</v>
      </c>
      <c r="L318" s="79">
        <f>J318-H318</f>
        <v>387</v>
      </c>
      <c r="M318" s="82">
        <v>7.2623278344827602</v>
      </c>
      <c r="N318" s="102">
        <f>L318*M318</f>
        <v>2810.5208719448283</v>
      </c>
      <c r="O318" s="126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99999999999999" customHeight="1" x14ac:dyDescent="0.3">
      <c r="A319" s="2"/>
      <c r="B319" s="452"/>
      <c r="C319" s="457"/>
      <c r="D319" s="457"/>
      <c r="E319" s="9" t="s">
        <v>305</v>
      </c>
      <c r="F319" s="6" t="s">
        <v>279</v>
      </c>
      <c r="G319" s="10">
        <v>45777</v>
      </c>
      <c r="H319" s="94">
        <v>1707</v>
      </c>
      <c r="I319" s="10">
        <v>45808</v>
      </c>
      <c r="J319" s="94">
        <v>1711</v>
      </c>
      <c r="K319" s="47">
        <v>1</v>
      </c>
      <c r="L319" s="79">
        <f>J319-H319</f>
        <v>4</v>
      </c>
      <c r="M319" s="82">
        <v>57.3754285714286</v>
      </c>
      <c r="N319" s="102">
        <f>L319*M319</f>
        <v>229.5017142857144</v>
      </c>
      <c r="O319" s="126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99999999999999" customHeight="1" x14ac:dyDescent="0.3">
      <c r="A320" s="2"/>
      <c r="B320" s="6">
        <v>2</v>
      </c>
      <c r="C320" s="93" t="s">
        <v>315</v>
      </c>
      <c r="D320" s="8"/>
      <c r="E320" s="9" t="s">
        <v>316</v>
      </c>
      <c r="F320" s="6" t="s">
        <v>240</v>
      </c>
      <c r="G320" s="10">
        <v>45777</v>
      </c>
      <c r="H320" s="94">
        <v>946</v>
      </c>
      <c r="I320" s="10">
        <v>45808</v>
      </c>
      <c r="J320" s="94">
        <v>1054</v>
      </c>
      <c r="K320" s="106">
        <v>1</v>
      </c>
      <c r="L320" s="48">
        <f>J320-H320</f>
        <v>108</v>
      </c>
      <c r="M320" s="82">
        <f>M318</f>
        <v>7.2623278344827602</v>
      </c>
      <c r="N320" s="103">
        <f>L320*M320</f>
        <v>784.33140612413808</v>
      </c>
      <c r="O320" s="126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99999999999999" customHeight="1" x14ac:dyDescent="0.3">
      <c r="A321" s="2"/>
      <c r="B321" s="116">
        <v>3</v>
      </c>
      <c r="C321" s="114" t="s">
        <v>323</v>
      </c>
      <c r="D321" s="117"/>
      <c r="E321" s="114" t="s">
        <v>283</v>
      </c>
      <c r="F321" s="116" t="s">
        <v>240</v>
      </c>
      <c r="G321" s="10">
        <v>45777</v>
      </c>
      <c r="H321" s="119">
        <v>30084</v>
      </c>
      <c r="I321" s="10">
        <v>45808</v>
      </c>
      <c r="J321" s="119">
        <v>30520</v>
      </c>
      <c r="K321" s="121">
        <v>1</v>
      </c>
      <c r="L321" s="122">
        <f>J321-H321</f>
        <v>436</v>
      </c>
      <c r="M321" s="123">
        <f>M318</f>
        <v>7.2623278344827602</v>
      </c>
      <c r="N321" s="124">
        <f>L321*M321</f>
        <v>3166.3749358344835</v>
      </c>
      <c r="O321" s="127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99999999999999" customHeight="1" x14ac:dyDescent="0.3">
      <c r="A322" s="2"/>
      <c r="B322" s="116">
        <v>4</v>
      </c>
      <c r="C322" s="114"/>
      <c r="D322" s="117"/>
      <c r="E322" s="114"/>
      <c r="F322" s="116"/>
      <c r="G322" s="10"/>
      <c r="H322" s="119"/>
      <c r="I322" s="10"/>
      <c r="J322" s="119"/>
      <c r="K322" s="121"/>
      <c r="L322" s="122"/>
      <c r="M322" s="123"/>
      <c r="N322" s="124"/>
      <c r="O322" s="125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99999999999999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99999999999999" customHeight="1" x14ac:dyDescent="0.3">
      <c r="A324" s="2"/>
      <c r="B324" s="458" t="s">
        <v>328</v>
      </c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99999999999999" customHeight="1" x14ac:dyDescent="0.3">
      <c r="A325" s="2"/>
      <c r="B325" s="459" t="s">
        <v>224</v>
      </c>
      <c r="C325" s="459"/>
      <c r="D325" s="3"/>
      <c r="E325" s="460" t="s">
        <v>275</v>
      </c>
      <c r="F325" s="460"/>
      <c r="G325" s="460"/>
      <c r="H325" s="460"/>
      <c r="I325" s="460"/>
      <c r="J325" s="460"/>
      <c r="K325" s="460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99999999999999" customHeight="1" x14ac:dyDescent="0.3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99999999999999" customHeight="1" x14ac:dyDescent="0.3">
      <c r="A327" s="2"/>
      <c r="B327" s="453" t="s">
        <v>227</v>
      </c>
      <c r="C327" s="453" t="s">
        <v>228</v>
      </c>
      <c r="D327" s="453" t="s">
        <v>229</v>
      </c>
      <c r="E327" s="454" t="s">
        <v>230</v>
      </c>
      <c r="F327" s="454" t="s">
        <v>231</v>
      </c>
      <c r="G327" s="454" t="s">
        <v>232</v>
      </c>
      <c r="H327" s="454"/>
      <c r="I327" s="454"/>
      <c r="J327" s="454"/>
      <c r="K327" s="454" t="s">
        <v>9</v>
      </c>
      <c r="L327" s="454" t="s">
        <v>292</v>
      </c>
      <c r="M327" s="455" t="s">
        <v>293</v>
      </c>
      <c r="N327" s="453" t="s">
        <v>18</v>
      </c>
      <c r="O327" s="453" t="s">
        <v>297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99999999999999" customHeight="1" x14ac:dyDescent="0.3">
      <c r="A328" s="2"/>
      <c r="B328" s="453"/>
      <c r="C328" s="453"/>
      <c r="D328" s="453"/>
      <c r="E328" s="454"/>
      <c r="F328" s="454"/>
      <c r="G328" s="7" t="s">
        <v>235</v>
      </c>
      <c r="H328" s="6" t="s">
        <v>236</v>
      </c>
      <c r="I328" s="7" t="s">
        <v>235</v>
      </c>
      <c r="J328" s="6" t="s">
        <v>236</v>
      </c>
      <c r="K328" s="454"/>
      <c r="L328" s="454"/>
      <c r="M328" s="454"/>
      <c r="N328" s="454"/>
      <c r="O328" s="454" t="s">
        <v>297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99999999999999" customHeight="1" x14ac:dyDescent="0.3">
      <c r="A329" s="2"/>
      <c r="B329" s="451">
        <v>1</v>
      </c>
      <c r="C329" s="456" t="s">
        <v>309</v>
      </c>
      <c r="D329" s="456"/>
      <c r="E329" s="9" t="s">
        <v>314</v>
      </c>
      <c r="F329" s="6" t="s">
        <v>240</v>
      </c>
      <c r="G329" s="10">
        <v>45808</v>
      </c>
      <c r="H329" s="94">
        <v>3215</v>
      </c>
      <c r="I329" s="10">
        <v>45838</v>
      </c>
      <c r="J329" s="94">
        <v>3607</v>
      </c>
      <c r="K329" s="47">
        <v>1</v>
      </c>
      <c r="L329" s="79">
        <f>J329-H329</f>
        <v>392</v>
      </c>
      <c r="M329" s="82">
        <v>7.2240000000000002</v>
      </c>
      <c r="N329" s="102">
        <f>L329*M329</f>
        <v>2831.808</v>
      </c>
      <c r="O329" s="126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99999999999999" customHeight="1" x14ac:dyDescent="0.3">
      <c r="A330" s="2"/>
      <c r="B330" s="452"/>
      <c r="C330" s="457"/>
      <c r="D330" s="457"/>
      <c r="E330" s="9" t="s">
        <v>305</v>
      </c>
      <c r="F330" s="6" t="s">
        <v>279</v>
      </c>
      <c r="G330" s="10">
        <v>45808</v>
      </c>
      <c r="H330" s="94">
        <v>1711</v>
      </c>
      <c r="I330" s="10">
        <v>45838</v>
      </c>
      <c r="J330" s="94">
        <v>1715</v>
      </c>
      <c r="K330" s="47">
        <v>1</v>
      </c>
      <c r="L330" s="79">
        <f>J330-H330</f>
        <v>4</v>
      </c>
      <c r="M330" s="82">
        <v>57.3754285714286</v>
      </c>
      <c r="N330" s="102">
        <f>L330*M330</f>
        <v>229.5017142857144</v>
      </c>
      <c r="O330" s="126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99999999999999" customHeight="1" x14ac:dyDescent="0.3">
      <c r="A331" s="2"/>
      <c r="B331" s="6">
        <v>2</v>
      </c>
      <c r="C331" s="93" t="s">
        <v>315</v>
      </c>
      <c r="D331" s="8"/>
      <c r="E331" s="9" t="s">
        <v>316</v>
      </c>
      <c r="F331" s="6" t="s">
        <v>240</v>
      </c>
      <c r="G331" s="10">
        <v>45808</v>
      </c>
      <c r="H331" s="94">
        <v>1054</v>
      </c>
      <c r="I331" s="10">
        <v>45838</v>
      </c>
      <c r="J331" s="94">
        <v>1168</v>
      </c>
      <c r="K331" s="106">
        <v>1</v>
      </c>
      <c r="L331" s="48">
        <f>J331-H331</f>
        <v>114</v>
      </c>
      <c r="M331" s="82">
        <f>M329</f>
        <v>7.2240000000000002</v>
      </c>
      <c r="N331" s="103">
        <f>L331*M331</f>
        <v>823.53600000000006</v>
      </c>
      <c r="O331" s="126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99999999999999" customHeight="1" x14ac:dyDescent="0.3">
      <c r="A332" s="2"/>
      <c r="B332" s="116">
        <v>3</v>
      </c>
      <c r="C332" s="114" t="s">
        <v>323</v>
      </c>
      <c r="D332" s="117"/>
      <c r="E332" s="114" t="s">
        <v>283</v>
      </c>
      <c r="F332" s="116" t="s">
        <v>240</v>
      </c>
      <c r="G332" s="10">
        <v>45808</v>
      </c>
      <c r="H332" s="119">
        <v>30520</v>
      </c>
      <c r="I332" s="10">
        <v>45838</v>
      </c>
      <c r="J332" s="119">
        <v>31013</v>
      </c>
      <c r="K332" s="121">
        <v>1</v>
      </c>
      <c r="L332" s="122">
        <f>J332-H332</f>
        <v>493</v>
      </c>
      <c r="M332" s="123">
        <f>M329</f>
        <v>7.2240000000000002</v>
      </c>
      <c r="N332" s="124">
        <f>L332*M332</f>
        <v>3561.4320000000002</v>
      </c>
      <c r="O332" s="127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99999999999999" customHeight="1" x14ac:dyDescent="0.3">
      <c r="A333" s="2"/>
      <c r="B333" s="116">
        <v>4</v>
      </c>
      <c r="C333" s="114"/>
      <c r="D333" s="117"/>
      <c r="E333" s="114"/>
      <c r="F333" s="116"/>
      <c r="G333" s="10"/>
      <c r="H333" s="119"/>
      <c r="I333" s="10"/>
      <c r="J333" s="119"/>
      <c r="K333" s="121"/>
      <c r="L333" s="122"/>
      <c r="M333" s="123"/>
      <c r="N333" s="124"/>
      <c r="O333" s="125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s="91" customFormat="1" ht="16.899999999999999" customHeight="1" x14ac:dyDescent="0.3">
      <c r="A334" s="77"/>
      <c r="B334" s="128"/>
      <c r="C334" s="129"/>
      <c r="D334" s="130"/>
      <c r="E334" s="129"/>
      <c r="F334" s="128"/>
      <c r="G334" s="131"/>
      <c r="H334" s="132"/>
      <c r="I334" s="131"/>
      <c r="J334" s="132"/>
      <c r="K334" s="133"/>
      <c r="L334" s="134"/>
      <c r="M334" s="135"/>
      <c r="N334" s="136"/>
      <c r="O334" s="13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899999999999999" customHeight="1" x14ac:dyDescent="0.3">
      <c r="A335" s="2"/>
      <c r="B335" s="458" t="s">
        <v>329</v>
      </c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99999999999999" customHeight="1" x14ac:dyDescent="0.3">
      <c r="A336" s="2"/>
      <c r="B336" s="459" t="s">
        <v>224</v>
      </c>
      <c r="C336" s="459"/>
      <c r="D336" s="3"/>
      <c r="E336" s="460" t="s">
        <v>275</v>
      </c>
      <c r="F336" s="460"/>
      <c r="G336" s="460"/>
      <c r="H336" s="460"/>
      <c r="I336" s="460"/>
      <c r="J336" s="460"/>
      <c r="K336" s="460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99999999999999" customHeight="1" x14ac:dyDescent="0.3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99999999999999" customHeight="1" x14ac:dyDescent="0.3">
      <c r="A338" s="2"/>
      <c r="B338" s="453" t="s">
        <v>227</v>
      </c>
      <c r="C338" s="453" t="s">
        <v>228</v>
      </c>
      <c r="D338" s="453" t="s">
        <v>229</v>
      </c>
      <c r="E338" s="454" t="s">
        <v>230</v>
      </c>
      <c r="F338" s="454" t="s">
        <v>231</v>
      </c>
      <c r="G338" s="454" t="s">
        <v>232</v>
      </c>
      <c r="H338" s="454"/>
      <c r="I338" s="454"/>
      <c r="J338" s="454"/>
      <c r="K338" s="454" t="s">
        <v>9</v>
      </c>
      <c r="L338" s="454" t="s">
        <v>292</v>
      </c>
      <c r="M338" s="455" t="s">
        <v>293</v>
      </c>
      <c r="N338" s="453" t="s">
        <v>18</v>
      </c>
      <c r="O338" s="453" t="s">
        <v>297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99999999999999" customHeight="1" x14ac:dyDescent="0.3">
      <c r="A339" s="2"/>
      <c r="B339" s="453"/>
      <c r="C339" s="453"/>
      <c r="D339" s="453"/>
      <c r="E339" s="454"/>
      <c r="F339" s="454"/>
      <c r="G339" s="7" t="s">
        <v>235</v>
      </c>
      <c r="H339" s="6" t="s">
        <v>236</v>
      </c>
      <c r="I339" s="7" t="s">
        <v>235</v>
      </c>
      <c r="J339" s="6" t="s">
        <v>236</v>
      </c>
      <c r="K339" s="454"/>
      <c r="L339" s="454"/>
      <c r="M339" s="454"/>
      <c r="N339" s="454"/>
      <c r="O339" s="454" t="s">
        <v>297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99999999999999" customHeight="1" x14ac:dyDescent="0.3">
      <c r="A340" s="2"/>
      <c r="B340" s="451">
        <v>1</v>
      </c>
      <c r="C340" s="456" t="s">
        <v>309</v>
      </c>
      <c r="D340" s="456"/>
      <c r="E340" s="9" t="s">
        <v>314</v>
      </c>
      <c r="F340" s="6" t="s">
        <v>240</v>
      </c>
      <c r="G340" s="10">
        <v>45838</v>
      </c>
      <c r="H340" s="94">
        <v>3607</v>
      </c>
      <c r="I340" s="10">
        <v>45869</v>
      </c>
      <c r="J340" s="94">
        <v>3955</v>
      </c>
      <c r="K340" s="47">
        <v>1</v>
      </c>
      <c r="L340" s="79">
        <f>J340-H340</f>
        <v>348</v>
      </c>
      <c r="M340" s="82">
        <v>7.9415159589231203</v>
      </c>
      <c r="N340" s="102">
        <f>L340*M340</f>
        <v>2763.6475537052461</v>
      </c>
      <c r="O340" s="11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99999999999999" customHeight="1" x14ac:dyDescent="0.3">
      <c r="A341" s="2"/>
      <c r="B341" s="452"/>
      <c r="C341" s="457"/>
      <c r="D341" s="457"/>
      <c r="E341" s="9" t="s">
        <v>305</v>
      </c>
      <c r="F341" s="6" t="s">
        <v>279</v>
      </c>
      <c r="G341" s="10">
        <v>45838</v>
      </c>
      <c r="H341" s="94">
        <v>1715</v>
      </c>
      <c r="I341" s="10">
        <v>45869</v>
      </c>
      <c r="J341" s="94">
        <v>1717</v>
      </c>
      <c r="K341" s="47">
        <v>1</v>
      </c>
      <c r="L341" s="79">
        <f>J341-H341</f>
        <v>2</v>
      </c>
      <c r="M341" s="82">
        <v>57.3754285714286</v>
      </c>
      <c r="N341" s="102">
        <f>L341*M341</f>
        <v>114.7508571428572</v>
      </c>
      <c r="O341" s="11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99999999999999" customHeight="1" x14ac:dyDescent="0.3">
      <c r="A342" s="2"/>
      <c r="B342" s="6">
        <v>2</v>
      </c>
      <c r="C342" s="93" t="s">
        <v>315</v>
      </c>
      <c r="D342" s="8"/>
      <c r="E342" s="9" t="s">
        <v>316</v>
      </c>
      <c r="F342" s="6" t="s">
        <v>240</v>
      </c>
      <c r="G342" s="10">
        <v>45838</v>
      </c>
      <c r="H342" s="94">
        <v>1168</v>
      </c>
      <c r="I342" s="10">
        <v>45869</v>
      </c>
      <c r="J342" s="94">
        <v>1289</v>
      </c>
      <c r="K342" s="106">
        <v>1</v>
      </c>
      <c r="L342" s="48">
        <f>J342-H342</f>
        <v>121</v>
      </c>
      <c r="M342" s="82">
        <f>M340</f>
        <v>7.9415159589231203</v>
      </c>
      <c r="N342" s="103">
        <f>L342*M342</f>
        <v>960.92343102969755</v>
      </c>
      <c r="O342" s="11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99999999999999" customHeight="1" x14ac:dyDescent="0.3">
      <c r="A343" s="2"/>
      <c r="B343" s="116">
        <v>3</v>
      </c>
      <c r="C343" s="114" t="s">
        <v>323</v>
      </c>
      <c r="D343" s="117"/>
      <c r="E343" s="114" t="s">
        <v>283</v>
      </c>
      <c r="F343" s="116" t="s">
        <v>240</v>
      </c>
      <c r="G343" s="10">
        <v>45838</v>
      </c>
      <c r="H343" s="119">
        <v>31013</v>
      </c>
      <c r="I343" s="10">
        <v>45869</v>
      </c>
      <c r="J343" s="119">
        <v>31460</v>
      </c>
      <c r="K343" s="121">
        <v>1</v>
      </c>
      <c r="L343" s="122">
        <f>J343-H343</f>
        <v>447</v>
      </c>
      <c r="M343" s="123">
        <f>M340</f>
        <v>7.9415159589231203</v>
      </c>
      <c r="N343" s="124">
        <f>L343*M343</f>
        <v>3549.857633638635</v>
      </c>
      <c r="O343" s="13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99999999999999" customHeight="1" x14ac:dyDescent="0.3">
      <c r="A344" s="2"/>
      <c r="B344" s="116">
        <v>4</v>
      </c>
      <c r="C344" s="114"/>
      <c r="D344" s="117"/>
      <c r="E344" s="114"/>
      <c r="F344" s="116"/>
      <c r="G344" s="10"/>
      <c r="H344" s="119"/>
      <c r="I344" s="10"/>
      <c r="J344" s="119"/>
      <c r="K344" s="121"/>
      <c r="L344" s="122"/>
      <c r="M344" s="139"/>
      <c r="N344" s="124"/>
      <c r="O344" s="125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99999999999999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99999999999999" customHeight="1" x14ac:dyDescent="0.3">
      <c r="A346" s="2"/>
      <c r="B346" s="458" t="s">
        <v>330</v>
      </c>
      <c r="C346" s="458"/>
      <c r="D346" s="458"/>
      <c r="E346" s="458"/>
      <c r="F346" s="458"/>
      <c r="G346" s="458"/>
      <c r="H346" s="458"/>
      <c r="I346" s="458"/>
      <c r="J346" s="458"/>
      <c r="K346" s="458"/>
      <c r="L346" s="458"/>
      <c r="M346" s="458"/>
      <c r="N346" s="458"/>
      <c r="O346" s="45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99999999999999" customHeight="1" x14ac:dyDescent="0.3">
      <c r="A347" s="2"/>
      <c r="B347" s="459" t="s">
        <v>224</v>
      </c>
      <c r="C347" s="459"/>
      <c r="D347" s="3"/>
      <c r="E347" s="460" t="s">
        <v>275</v>
      </c>
      <c r="F347" s="460"/>
      <c r="G347" s="460"/>
      <c r="H347" s="460"/>
      <c r="I347" s="460"/>
      <c r="J347" s="460"/>
      <c r="K347" s="460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99999999999999" customHeight="1" x14ac:dyDescent="0.3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99999999999999" customHeight="1" x14ac:dyDescent="0.3">
      <c r="A349" s="2"/>
      <c r="B349" s="453" t="s">
        <v>227</v>
      </c>
      <c r="C349" s="453" t="s">
        <v>228</v>
      </c>
      <c r="D349" s="453" t="s">
        <v>229</v>
      </c>
      <c r="E349" s="454" t="s">
        <v>230</v>
      </c>
      <c r="F349" s="454" t="s">
        <v>231</v>
      </c>
      <c r="G349" s="454" t="s">
        <v>232</v>
      </c>
      <c r="H349" s="454"/>
      <c r="I349" s="454"/>
      <c r="J349" s="454"/>
      <c r="K349" s="454" t="s">
        <v>9</v>
      </c>
      <c r="L349" s="454" t="s">
        <v>292</v>
      </c>
      <c r="M349" s="455" t="s">
        <v>293</v>
      </c>
      <c r="N349" s="453" t="s">
        <v>18</v>
      </c>
      <c r="O349" s="453" t="s">
        <v>297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99999999999999" customHeight="1" x14ac:dyDescent="0.3">
      <c r="A350" s="2"/>
      <c r="B350" s="453"/>
      <c r="C350" s="453"/>
      <c r="D350" s="453"/>
      <c r="E350" s="454"/>
      <c r="F350" s="454"/>
      <c r="G350" s="7" t="s">
        <v>235</v>
      </c>
      <c r="H350" s="6" t="s">
        <v>236</v>
      </c>
      <c r="I350" s="7" t="s">
        <v>235</v>
      </c>
      <c r="J350" s="6" t="s">
        <v>236</v>
      </c>
      <c r="K350" s="454"/>
      <c r="L350" s="454"/>
      <c r="M350" s="454"/>
      <c r="N350" s="454"/>
      <c r="O350" s="454" t="s">
        <v>297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99999999999999" customHeight="1" x14ac:dyDescent="0.3">
      <c r="A351" s="2"/>
      <c r="B351" s="451">
        <v>1</v>
      </c>
      <c r="C351" s="456" t="s">
        <v>309</v>
      </c>
      <c r="D351" s="456"/>
      <c r="E351" s="9" t="s">
        <v>314</v>
      </c>
      <c r="F351" s="6" t="s">
        <v>240</v>
      </c>
      <c r="G351" s="10">
        <v>45869</v>
      </c>
      <c r="H351" s="94">
        <v>3955</v>
      </c>
      <c r="I351" s="10">
        <v>45900</v>
      </c>
      <c r="J351" s="94">
        <v>4269.3</v>
      </c>
      <c r="K351" s="47">
        <v>1</v>
      </c>
      <c r="L351" s="79">
        <f>J351-H351</f>
        <v>314.30000000000018</v>
      </c>
      <c r="M351" s="82">
        <v>7.9877639364683901</v>
      </c>
      <c r="N351" s="102">
        <f>L351*M351</f>
        <v>2510.5542052320166</v>
      </c>
      <c r="O351" s="126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99999999999999" customHeight="1" x14ac:dyDescent="0.3">
      <c r="A352" s="2"/>
      <c r="B352" s="452"/>
      <c r="C352" s="457"/>
      <c r="D352" s="457"/>
      <c r="E352" s="9" t="s">
        <v>305</v>
      </c>
      <c r="F352" s="6" t="s">
        <v>279</v>
      </c>
      <c r="G352" s="10">
        <v>45869</v>
      </c>
      <c r="H352" s="94">
        <v>1717</v>
      </c>
      <c r="I352" s="10">
        <v>45900</v>
      </c>
      <c r="J352" s="94">
        <v>1717.8</v>
      </c>
      <c r="K352" s="47">
        <v>1</v>
      </c>
      <c r="L352" s="79">
        <f>J352-H352</f>
        <v>0.79999999999995453</v>
      </c>
      <c r="M352" s="82">
        <v>57.3754285714286</v>
      </c>
      <c r="N352" s="102">
        <f>L352*M352</f>
        <v>45.900342857140274</v>
      </c>
      <c r="O352" s="126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99999999999999" customHeight="1" x14ac:dyDescent="0.3">
      <c r="A353" s="2"/>
      <c r="B353" s="6">
        <v>2</v>
      </c>
      <c r="C353" s="93" t="s">
        <v>315</v>
      </c>
      <c r="D353" s="8"/>
      <c r="E353" s="9" t="s">
        <v>316</v>
      </c>
      <c r="F353" s="6" t="s">
        <v>240</v>
      </c>
      <c r="G353" s="10">
        <v>45869</v>
      </c>
      <c r="H353" s="94">
        <v>1289</v>
      </c>
      <c r="I353" s="10">
        <v>45900</v>
      </c>
      <c r="J353" s="94">
        <v>1402</v>
      </c>
      <c r="K353" s="106">
        <v>1</v>
      </c>
      <c r="L353" s="48">
        <f>J353-H353</f>
        <v>113</v>
      </c>
      <c r="M353" s="82">
        <f>M351</f>
        <v>7.9877639364683901</v>
      </c>
      <c r="N353" s="103">
        <f>L353*M353</f>
        <v>902.61732482092805</v>
      </c>
      <c r="O353" s="126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99999999999999" customHeight="1" x14ac:dyDescent="0.3">
      <c r="A354" s="2"/>
      <c r="B354" s="116">
        <v>3</v>
      </c>
      <c r="C354" s="114" t="s">
        <v>323</v>
      </c>
      <c r="D354" s="117"/>
      <c r="E354" s="114" t="s">
        <v>283</v>
      </c>
      <c r="F354" s="116" t="s">
        <v>240</v>
      </c>
      <c r="G354" s="10">
        <v>45869</v>
      </c>
      <c r="H354" s="119">
        <v>31460</v>
      </c>
      <c r="I354" s="10">
        <v>45900</v>
      </c>
      <c r="J354" s="119">
        <v>31954.1</v>
      </c>
      <c r="K354" s="121">
        <v>1</v>
      </c>
      <c r="L354" s="122">
        <f>J354-H354</f>
        <v>494.09999999999854</v>
      </c>
      <c r="M354" s="123">
        <f>M351</f>
        <v>7.9877639364683901</v>
      </c>
      <c r="N354" s="124">
        <f>L354*M354</f>
        <v>3946.7541610090198</v>
      </c>
      <c r="O354" s="127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99999999999999" customHeight="1" x14ac:dyDescent="0.3">
      <c r="A355" s="2"/>
      <c r="B355" s="116">
        <v>4</v>
      </c>
      <c r="C355" s="114"/>
      <c r="D355" s="117"/>
      <c r="E355" s="114"/>
      <c r="F355" s="116"/>
      <c r="G355" s="10"/>
      <c r="H355" s="119"/>
      <c r="I355" s="10"/>
      <c r="J355" s="119"/>
      <c r="K355" s="121"/>
      <c r="L355" s="122"/>
      <c r="M355" s="139"/>
      <c r="N355" s="124"/>
      <c r="O355" s="125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99999999999999" customHeight="1" x14ac:dyDescent="0.3">
      <c r="A356" s="2"/>
      <c r="B356" s="458" t="s">
        <v>331</v>
      </c>
      <c r="C356" s="458"/>
      <c r="D356" s="458"/>
      <c r="E356" s="458"/>
      <c r="F356" s="458"/>
      <c r="G356" s="458"/>
      <c r="H356" s="458"/>
      <c r="I356" s="458"/>
      <c r="J356" s="458"/>
      <c r="K356" s="458"/>
      <c r="L356" s="458"/>
      <c r="M356" s="458"/>
      <c r="N356" s="458"/>
      <c r="O356" s="45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99999999999999" customHeight="1" x14ac:dyDescent="0.3">
      <c r="A357" s="2"/>
      <c r="B357" s="459" t="s">
        <v>224</v>
      </c>
      <c r="C357" s="459"/>
      <c r="D357" s="3"/>
      <c r="E357" s="460" t="s">
        <v>275</v>
      </c>
      <c r="F357" s="460"/>
      <c r="G357" s="460"/>
      <c r="H357" s="460"/>
      <c r="I357" s="460"/>
      <c r="J357" s="460"/>
      <c r="K357" s="460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99999999999999" customHeight="1" x14ac:dyDescent="0.3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99999999999999" customHeight="1" x14ac:dyDescent="0.3">
      <c r="A359" s="2"/>
      <c r="B359" s="453" t="s">
        <v>227</v>
      </c>
      <c r="C359" s="453" t="s">
        <v>228</v>
      </c>
      <c r="D359" s="453" t="s">
        <v>229</v>
      </c>
      <c r="E359" s="454" t="s">
        <v>230</v>
      </c>
      <c r="F359" s="454" t="s">
        <v>231</v>
      </c>
      <c r="G359" s="454" t="s">
        <v>232</v>
      </c>
      <c r="H359" s="454"/>
      <c r="I359" s="454"/>
      <c r="J359" s="454"/>
      <c r="K359" s="454" t="s">
        <v>9</v>
      </c>
      <c r="L359" s="454" t="s">
        <v>292</v>
      </c>
      <c r="M359" s="455" t="s">
        <v>293</v>
      </c>
      <c r="N359" s="453" t="s">
        <v>18</v>
      </c>
      <c r="O359" s="453" t="s">
        <v>297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99999999999999" customHeight="1" x14ac:dyDescent="0.3">
      <c r="A360" s="2"/>
      <c r="B360" s="453"/>
      <c r="C360" s="453"/>
      <c r="D360" s="453"/>
      <c r="E360" s="454"/>
      <c r="F360" s="454"/>
      <c r="G360" s="7" t="s">
        <v>235</v>
      </c>
      <c r="H360" s="6" t="s">
        <v>236</v>
      </c>
      <c r="I360" s="7" t="s">
        <v>235</v>
      </c>
      <c r="J360" s="6" t="s">
        <v>236</v>
      </c>
      <c r="K360" s="454"/>
      <c r="L360" s="454"/>
      <c r="M360" s="454"/>
      <c r="N360" s="454"/>
      <c r="O360" s="454" t="s">
        <v>297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99999999999999" customHeight="1" x14ac:dyDescent="0.3">
      <c r="A361" s="2"/>
      <c r="B361" s="451">
        <v>1</v>
      </c>
      <c r="C361" s="456" t="s">
        <v>309</v>
      </c>
      <c r="D361" s="456"/>
      <c r="E361" s="9" t="s">
        <v>314</v>
      </c>
      <c r="F361" s="6" t="s">
        <v>240</v>
      </c>
      <c r="G361" s="10">
        <v>45900</v>
      </c>
      <c r="H361" s="94">
        <v>4269.3</v>
      </c>
      <c r="I361" s="10">
        <v>45930</v>
      </c>
      <c r="J361" s="94">
        <v>4636</v>
      </c>
      <c r="K361" s="47">
        <v>1</v>
      </c>
      <c r="L361" s="79">
        <f>J361-H361</f>
        <v>366.69999999999982</v>
      </c>
      <c r="M361" s="82">
        <v>7.2019078693007703</v>
      </c>
      <c r="N361" s="102">
        <f>L361*M361</f>
        <v>2640.9396156725911</v>
      </c>
      <c r="O361" s="126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99999999999999" customHeight="1" x14ac:dyDescent="0.3">
      <c r="A362" s="2"/>
      <c r="B362" s="452"/>
      <c r="C362" s="457"/>
      <c r="D362" s="457"/>
      <c r="E362" s="9" t="s">
        <v>305</v>
      </c>
      <c r="F362" s="6" t="s">
        <v>279</v>
      </c>
      <c r="G362" s="10">
        <v>45900</v>
      </c>
      <c r="H362" s="94">
        <v>1717.8</v>
      </c>
      <c r="I362" s="10">
        <v>45930</v>
      </c>
      <c r="J362" s="94">
        <v>1723.65</v>
      </c>
      <c r="K362" s="47">
        <v>1</v>
      </c>
      <c r="L362" s="79">
        <f>J362-H362</f>
        <v>5.8500000000001364</v>
      </c>
      <c r="M362" s="82">
        <f>субаренда!AE10</f>
        <v>57.375430000000001</v>
      </c>
      <c r="N362" s="102">
        <f>L362*M362</f>
        <v>335.64626550000781</v>
      </c>
      <c r="O362" s="126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99999999999999" customHeight="1" x14ac:dyDescent="0.3">
      <c r="A363" s="2"/>
      <c r="B363" s="6">
        <v>2</v>
      </c>
      <c r="C363" s="93" t="s">
        <v>315</v>
      </c>
      <c r="D363" s="8"/>
      <c r="E363" s="9" t="s">
        <v>316</v>
      </c>
      <c r="F363" s="6" t="s">
        <v>240</v>
      </c>
      <c r="G363" s="10">
        <v>45900</v>
      </c>
      <c r="H363" s="94">
        <v>1402</v>
      </c>
      <c r="I363" s="10">
        <v>45930</v>
      </c>
      <c r="J363" s="94">
        <v>1523</v>
      </c>
      <c r="K363" s="106">
        <v>1</v>
      </c>
      <c r="L363" s="48">
        <f>J363-H363</f>
        <v>121</v>
      </c>
      <c r="M363" s="82">
        <f>M361</f>
        <v>7.2019078693007703</v>
      </c>
      <c r="N363" s="103">
        <f>L363*M363</f>
        <v>871.43085218539318</v>
      </c>
      <c r="O363" s="126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99999999999999" customHeight="1" x14ac:dyDescent="0.3">
      <c r="A364" s="2"/>
      <c r="B364" s="116">
        <v>3</v>
      </c>
      <c r="C364" s="114" t="s">
        <v>323</v>
      </c>
      <c r="D364" s="117"/>
      <c r="E364" s="114" t="s">
        <v>283</v>
      </c>
      <c r="F364" s="116" t="s">
        <v>240</v>
      </c>
      <c r="G364" s="10">
        <v>45900</v>
      </c>
      <c r="H364" s="119">
        <v>31954.1</v>
      </c>
      <c r="I364" s="10">
        <v>45930</v>
      </c>
      <c r="J364" s="119">
        <v>32510</v>
      </c>
      <c r="K364" s="121">
        <v>1</v>
      </c>
      <c r="L364" s="122">
        <f>J364-H364</f>
        <v>555.90000000000146</v>
      </c>
      <c r="M364" s="123">
        <f>M361</f>
        <v>7.2019078693007703</v>
      </c>
      <c r="N364" s="124">
        <f>L364*M364</f>
        <v>4003.5405845443088</v>
      </c>
      <c r="O364" s="127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99999999999999" customHeight="1" x14ac:dyDescent="0.3">
      <c r="A365" s="2"/>
      <c r="B365" s="116">
        <v>4</v>
      </c>
      <c r="C365" s="114"/>
      <c r="D365" s="117"/>
      <c r="E365" s="114"/>
      <c r="F365" s="116"/>
      <c r="G365" s="10"/>
      <c r="H365" s="119"/>
      <c r="I365" s="10"/>
      <c r="J365" s="119"/>
      <c r="K365" s="121"/>
      <c r="L365" s="122"/>
      <c r="M365" s="139"/>
      <c r="N365" s="124"/>
      <c r="O365" s="125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99999999999999" customHeight="1" x14ac:dyDescent="0.3">
      <c r="A366" s="2"/>
      <c r="B366" s="458" t="s">
        <v>332</v>
      </c>
      <c r="C366" s="458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99999999999999" customHeight="1" x14ac:dyDescent="0.3">
      <c r="A367" s="2"/>
      <c r="B367" s="459" t="s">
        <v>224</v>
      </c>
      <c r="C367" s="459"/>
      <c r="D367" s="3"/>
      <c r="E367" s="460" t="s">
        <v>275</v>
      </c>
      <c r="F367" s="460"/>
      <c r="G367" s="460"/>
      <c r="H367" s="460"/>
      <c r="I367" s="460"/>
      <c r="J367" s="460"/>
      <c r="K367" s="460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99999999999999" customHeight="1" x14ac:dyDescent="0.3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99999999999999" customHeight="1" x14ac:dyDescent="0.3">
      <c r="A369" s="2"/>
      <c r="B369" s="453" t="s">
        <v>227</v>
      </c>
      <c r="C369" s="453" t="s">
        <v>228</v>
      </c>
      <c r="D369" s="453" t="s">
        <v>229</v>
      </c>
      <c r="E369" s="454" t="s">
        <v>230</v>
      </c>
      <c r="F369" s="454" t="s">
        <v>231</v>
      </c>
      <c r="G369" s="454" t="s">
        <v>232</v>
      </c>
      <c r="H369" s="454"/>
      <c r="I369" s="454"/>
      <c r="J369" s="454"/>
      <c r="K369" s="454" t="s">
        <v>9</v>
      </c>
      <c r="L369" s="454" t="s">
        <v>292</v>
      </c>
      <c r="M369" s="455" t="s">
        <v>293</v>
      </c>
      <c r="N369" s="453" t="s">
        <v>18</v>
      </c>
      <c r="O369" s="453" t="s">
        <v>297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99999999999999" customHeight="1" x14ac:dyDescent="0.3">
      <c r="A370" s="2"/>
      <c r="B370" s="453"/>
      <c r="C370" s="453"/>
      <c r="D370" s="453"/>
      <c r="E370" s="454"/>
      <c r="F370" s="454"/>
      <c r="G370" s="7" t="s">
        <v>235</v>
      </c>
      <c r="H370" s="6" t="s">
        <v>236</v>
      </c>
      <c r="I370" s="7" t="s">
        <v>235</v>
      </c>
      <c r="J370" s="6" t="s">
        <v>236</v>
      </c>
      <c r="K370" s="454"/>
      <c r="L370" s="454"/>
      <c r="M370" s="454"/>
      <c r="N370" s="454"/>
      <c r="O370" s="454" t="s">
        <v>297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99999999999999" customHeight="1" x14ac:dyDescent="0.3">
      <c r="A371" s="2"/>
      <c r="B371" s="451">
        <v>1</v>
      </c>
      <c r="C371" s="456" t="s">
        <v>309</v>
      </c>
      <c r="D371" s="456"/>
      <c r="E371" s="9" t="s">
        <v>314</v>
      </c>
      <c r="F371" s="6" t="s">
        <v>240</v>
      </c>
      <c r="G371" s="10">
        <v>45930</v>
      </c>
      <c r="H371" s="94">
        <v>4636</v>
      </c>
      <c r="I371" s="10">
        <v>45961</v>
      </c>
      <c r="J371" s="94">
        <v>4928</v>
      </c>
      <c r="K371" s="47">
        <v>1</v>
      </c>
      <c r="L371" s="79">
        <f>J371-H371</f>
        <v>292</v>
      </c>
      <c r="M371" s="82">
        <v>9.5370958593306892</v>
      </c>
      <c r="N371" s="102">
        <f>L371*M371</f>
        <v>2784.8319909245611</v>
      </c>
      <c r="O371" s="126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99999999999999" customHeight="1" x14ac:dyDescent="0.3">
      <c r="A372" s="2"/>
      <c r="B372" s="452"/>
      <c r="C372" s="457"/>
      <c r="D372" s="457"/>
      <c r="E372" s="9" t="s">
        <v>305</v>
      </c>
      <c r="F372" s="6" t="s">
        <v>279</v>
      </c>
      <c r="G372" s="10">
        <v>45930</v>
      </c>
      <c r="H372" s="94">
        <v>1723.65</v>
      </c>
      <c r="I372" s="10">
        <v>45961</v>
      </c>
      <c r="J372" s="94">
        <v>1726</v>
      </c>
      <c r="K372" s="47">
        <v>1</v>
      </c>
      <c r="L372" s="79">
        <f>J372-H372</f>
        <v>2.3499999999999091</v>
      </c>
      <c r="M372" s="82">
        <v>57.375</v>
      </c>
      <c r="N372" s="102">
        <f>L372*M372</f>
        <v>134.83124999999478</v>
      </c>
      <c r="O372" s="126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99999999999999" customHeight="1" x14ac:dyDescent="0.3">
      <c r="A373" s="2"/>
      <c r="B373" s="6">
        <v>2</v>
      </c>
      <c r="C373" s="93" t="s">
        <v>315</v>
      </c>
      <c r="D373" s="8"/>
      <c r="E373" s="9" t="s">
        <v>316</v>
      </c>
      <c r="F373" s="6" t="s">
        <v>240</v>
      </c>
      <c r="G373" s="10">
        <v>45930</v>
      </c>
      <c r="H373" s="94">
        <v>1523</v>
      </c>
      <c r="I373" s="10">
        <v>45961</v>
      </c>
      <c r="J373" s="94">
        <v>1638</v>
      </c>
      <c r="K373" s="106">
        <v>1</v>
      </c>
      <c r="L373" s="48">
        <f>J373-H373</f>
        <v>115</v>
      </c>
      <c r="M373" s="82">
        <f>M371</f>
        <v>9.5370958593306892</v>
      </c>
      <c r="N373" s="103">
        <f>L373*M373</f>
        <v>1096.7660238230292</v>
      </c>
      <c r="O373" s="126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99999999999999" customHeight="1" x14ac:dyDescent="0.3">
      <c r="A374" s="2"/>
      <c r="B374" s="116">
        <v>3</v>
      </c>
      <c r="C374" s="114" t="s">
        <v>323</v>
      </c>
      <c r="D374" s="117"/>
      <c r="E374" s="114" t="s">
        <v>283</v>
      </c>
      <c r="F374" s="116" t="s">
        <v>240</v>
      </c>
      <c r="G374" s="10">
        <v>45930</v>
      </c>
      <c r="H374" s="119">
        <v>32510</v>
      </c>
      <c r="I374" s="10">
        <v>45961</v>
      </c>
      <c r="J374" s="119">
        <v>32989</v>
      </c>
      <c r="K374" s="121">
        <v>1</v>
      </c>
      <c r="L374" s="122">
        <f>J374-H374</f>
        <v>479</v>
      </c>
      <c r="M374" s="123">
        <f>M373</f>
        <v>9.5370958593306892</v>
      </c>
      <c r="N374" s="124">
        <f>L374*M374</f>
        <v>4568.2689166194004</v>
      </c>
      <c r="O374" s="127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99999999999999" customHeight="1" x14ac:dyDescent="0.3">
      <c r="A375" s="2"/>
      <c r="B375" s="116">
        <v>4</v>
      </c>
      <c r="C375" s="114"/>
      <c r="D375" s="117"/>
      <c r="E375" s="114"/>
      <c r="F375" s="116"/>
      <c r="G375" s="10"/>
      <c r="H375" s="119"/>
      <c r="I375" s="10"/>
      <c r="J375" s="119"/>
      <c r="K375" s="121"/>
      <c r="L375" s="122"/>
      <c r="M375" s="139"/>
      <c r="N375" s="124"/>
      <c r="O375" s="125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99999999999999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99999999999999" customHeight="1" x14ac:dyDescent="0.3">
      <c r="A377" s="2"/>
      <c r="B377" s="458" t="s">
        <v>333</v>
      </c>
      <c r="C377" s="458"/>
      <c r="D377" s="458"/>
      <c r="E377" s="458"/>
      <c r="F377" s="458"/>
      <c r="G377" s="458"/>
      <c r="H377" s="458"/>
      <c r="I377" s="458"/>
      <c r="J377" s="458"/>
      <c r="K377" s="458"/>
      <c r="L377" s="458"/>
      <c r="M377" s="458"/>
      <c r="N377" s="458"/>
      <c r="O377" s="45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99999999999999" customHeight="1" x14ac:dyDescent="0.3">
      <c r="A378" s="2"/>
      <c r="B378" s="459" t="s">
        <v>224</v>
      </c>
      <c r="C378" s="459"/>
      <c r="D378" s="3"/>
      <c r="E378" s="460" t="s">
        <v>275</v>
      </c>
      <c r="F378" s="460"/>
      <c r="G378" s="460"/>
      <c r="H378" s="460"/>
      <c r="I378" s="460"/>
      <c r="J378" s="460"/>
      <c r="K378" s="460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99999999999999" customHeight="1" x14ac:dyDescent="0.3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99999999999999" customHeight="1" x14ac:dyDescent="0.3">
      <c r="A380" s="2"/>
      <c r="B380" s="453" t="s">
        <v>227</v>
      </c>
      <c r="C380" s="453" t="s">
        <v>228</v>
      </c>
      <c r="D380" s="453" t="s">
        <v>229</v>
      </c>
      <c r="E380" s="454" t="s">
        <v>230</v>
      </c>
      <c r="F380" s="454" t="s">
        <v>231</v>
      </c>
      <c r="G380" s="454" t="s">
        <v>232</v>
      </c>
      <c r="H380" s="454"/>
      <c r="I380" s="454"/>
      <c r="J380" s="454"/>
      <c r="K380" s="454" t="s">
        <v>9</v>
      </c>
      <c r="L380" s="454" t="s">
        <v>292</v>
      </c>
      <c r="M380" s="455" t="s">
        <v>293</v>
      </c>
      <c r="N380" s="453" t="s">
        <v>18</v>
      </c>
      <c r="O380" s="453" t="s">
        <v>297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99999999999999" customHeight="1" x14ac:dyDescent="0.3">
      <c r="A381" s="2"/>
      <c r="B381" s="453"/>
      <c r="C381" s="453"/>
      <c r="D381" s="453"/>
      <c r="E381" s="454"/>
      <c r="F381" s="454"/>
      <c r="G381" s="7" t="s">
        <v>235</v>
      </c>
      <c r="H381" s="6" t="s">
        <v>236</v>
      </c>
      <c r="I381" s="7" t="s">
        <v>235</v>
      </c>
      <c r="J381" s="6" t="s">
        <v>236</v>
      </c>
      <c r="K381" s="454"/>
      <c r="L381" s="454"/>
      <c r="M381" s="454"/>
      <c r="N381" s="454"/>
      <c r="O381" s="454" t="s">
        <v>297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99999999999999" customHeight="1" x14ac:dyDescent="0.3">
      <c r="A382" s="2"/>
      <c r="B382" s="451">
        <v>1</v>
      </c>
      <c r="C382" s="456" t="s">
        <v>309</v>
      </c>
      <c r="D382" s="456"/>
      <c r="E382" s="9" t="s">
        <v>314</v>
      </c>
      <c r="F382" s="6" t="s">
        <v>240</v>
      </c>
      <c r="G382" s="10">
        <v>45961</v>
      </c>
      <c r="H382" s="94">
        <v>4928</v>
      </c>
      <c r="I382" s="10">
        <v>45991</v>
      </c>
      <c r="J382" s="94">
        <v>5126</v>
      </c>
      <c r="K382" s="47">
        <v>1</v>
      </c>
      <c r="L382" s="79">
        <f>J382-H382</f>
        <v>198</v>
      </c>
      <c r="M382" s="82">
        <v>10.118064079187301</v>
      </c>
      <c r="N382" s="102">
        <f>L382*M382</f>
        <v>2003.3766876790855</v>
      </c>
      <c r="O382" s="10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99999999999999" customHeight="1" x14ac:dyDescent="0.3">
      <c r="A383" s="2"/>
      <c r="B383" s="452"/>
      <c r="C383" s="457"/>
      <c r="D383" s="457"/>
      <c r="E383" s="9" t="s">
        <v>305</v>
      </c>
      <c r="F383" s="6" t="s">
        <v>279</v>
      </c>
      <c r="G383" s="10">
        <v>45961</v>
      </c>
      <c r="H383" s="94">
        <v>1726</v>
      </c>
      <c r="I383" s="10">
        <v>45991</v>
      </c>
      <c r="J383" s="94">
        <v>1727</v>
      </c>
      <c r="K383" s="47">
        <v>1</v>
      </c>
      <c r="L383" s="79">
        <f>J383-H383</f>
        <v>1</v>
      </c>
      <c r="M383" s="82">
        <v>57.375</v>
      </c>
      <c r="N383" s="102">
        <f>L383*M383</f>
        <v>57.375</v>
      </c>
      <c r="O383" s="10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99999999999999" customHeight="1" x14ac:dyDescent="0.3">
      <c r="A384" s="2"/>
      <c r="B384" s="6">
        <v>2</v>
      </c>
      <c r="C384" s="93" t="s">
        <v>315</v>
      </c>
      <c r="D384" s="8"/>
      <c r="E384" s="9" t="s">
        <v>316</v>
      </c>
      <c r="F384" s="6" t="s">
        <v>240</v>
      </c>
      <c r="G384" s="10">
        <v>45961</v>
      </c>
      <c r="H384" s="94">
        <v>1638</v>
      </c>
      <c r="I384" s="10">
        <v>45991</v>
      </c>
      <c r="J384" s="94">
        <v>1723</v>
      </c>
      <c r="K384" s="106">
        <v>1</v>
      </c>
      <c r="L384" s="48">
        <f>J384-H384</f>
        <v>85</v>
      </c>
      <c r="M384" s="82">
        <f>M382</f>
        <v>10.118064079187301</v>
      </c>
      <c r="N384" s="103">
        <f>L384*M384</f>
        <v>860.03544673092051</v>
      </c>
      <c r="O384" s="107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99999999999999" customHeight="1" x14ac:dyDescent="0.3">
      <c r="A385" s="2"/>
      <c r="B385" s="116">
        <v>3</v>
      </c>
      <c r="C385" s="114" t="s">
        <v>323</v>
      </c>
      <c r="D385" s="117"/>
      <c r="E385" s="114" t="s">
        <v>283</v>
      </c>
      <c r="F385" s="116" t="s">
        <v>240</v>
      </c>
      <c r="G385" s="10">
        <v>45961</v>
      </c>
      <c r="H385" s="119">
        <v>32989</v>
      </c>
      <c r="I385" s="10">
        <v>45991</v>
      </c>
      <c r="J385" s="119">
        <v>33428</v>
      </c>
      <c r="K385" s="121">
        <v>1</v>
      </c>
      <c r="L385" s="122">
        <f>J385-H385</f>
        <v>439</v>
      </c>
      <c r="M385" s="123">
        <f>M384</f>
        <v>10.118064079187301</v>
      </c>
      <c r="N385" s="124">
        <f>L385*M385</f>
        <v>4441.8301307632246</v>
      </c>
      <c r="O385" s="14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99999999999999" customHeight="1" x14ac:dyDescent="0.3">
      <c r="A386" s="2"/>
      <c r="B386" s="116">
        <v>4</v>
      </c>
      <c r="C386" s="114"/>
      <c r="D386" s="117"/>
      <c r="E386" s="114"/>
      <c r="F386" s="116"/>
      <c r="G386" s="10"/>
      <c r="H386" s="119"/>
      <c r="I386" s="10"/>
      <c r="J386" s="119"/>
      <c r="K386" s="121"/>
      <c r="L386" s="122"/>
      <c r="M386" s="139"/>
      <c r="N386" s="124"/>
      <c r="O386" s="141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99999999999999" customHeight="1" x14ac:dyDescent="0.3">
      <c r="A387" s="2"/>
      <c r="B387" s="458" t="s">
        <v>334</v>
      </c>
      <c r="C387" s="458"/>
      <c r="D387" s="458"/>
      <c r="E387" s="458"/>
      <c r="F387" s="458"/>
      <c r="G387" s="458"/>
      <c r="H387" s="458"/>
      <c r="I387" s="458"/>
      <c r="J387" s="458"/>
      <c r="K387" s="458"/>
      <c r="L387" s="458"/>
      <c r="M387" s="458"/>
      <c r="N387" s="458"/>
      <c r="O387" s="45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99999999999999" customHeight="1" x14ac:dyDescent="0.3">
      <c r="A388" s="2"/>
      <c r="B388" s="459" t="s">
        <v>224</v>
      </c>
      <c r="C388" s="459"/>
      <c r="D388" s="3"/>
      <c r="E388" s="460" t="s">
        <v>275</v>
      </c>
      <c r="F388" s="460"/>
      <c r="G388" s="460"/>
      <c r="H388" s="460"/>
      <c r="I388" s="460"/>
      <c r="J388" s="460"/>
      <c r="K388" s="460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99999999999999" customHeight="1" x14ac:dyDescent="0.3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99999999999999" customHeight="1" x14ac:dyDescent="0.3">
      <c r="A390" s="2"/>
      <c r="B390" s="453" t="s">
        <v>227</v>
      </c>
      <c r="C390" s="453" t="s">
        <v>228</v>
      </c>
      <c r="D390" s="453" t="s">
        <v>229</v>
      </c>
      <c r="E390" s="454" t="s">
        <v>230</v>
      </c>
      <c r="F390" s="454" t="s">
        <v>231</v>
      </c>
      <c r="G390" s="454" t="s">
        <v>232</v>
      </c>
      <c r="H390" s="454"/>
      <c r="I390" s="454"/>
      <c r="J390" s="454"/>
      <c r="K390" s="454" t="s">
        <v>9</v>
      </c>
      <c r="L390" s="454" t="s">
        <v>292</v>
      </c>
      <c r="M390" s="455" t="s">
        <v>293</v>
      </c>
      <c r="N390" s="453" t="s">
        <v>18</v>
      </c>
      <c r="O390" s="453" t="s">
        <v>297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99999999999999" customHeight="1" x14ac:dyDescent="0.3">
      <c r="A391" s="2"/>
      <c r="B391" s="453"/>
      <c r="C391" s="453"/>
      <c r="D391" s="453"/>
      <c r="E391" s="454"/>
      <c r="F391" s="454"/>
      <c r="G391" s="7" t="s">
        <v>235</v>
      </c>
      <c r="H391" s="6" t="s">
        <v>236</v>
      </c>
      <c r="I391" s="7" t="s">
        <v>235</v>
      </c>
      <c r="J391" s="6" t="s">
        <v>236</v>
      </c>
      <c r="K391" s="454"/>
      <c r="L391" s="454"/>
      <c r="M391" s="454"/>
      <c r="N391" s="454"/>
      <c r="O391" s="454" t="s">
        <v>297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99999999999999" customHeight="1" x14ac:dyDescent="0.3">
      <c r="A392" s="2"/>
      <c r="B392" s="451">
        <v>1</v>
      </c>
      <c r="C392" s="456" t="s">
        <v>309</v>
      </c>
      <c r="D392" s="456"/>
      <c r="E392" s="9" t="s">
        <v>314</v>
      </c>
      <c r="F392" s="6" t="s">
        <v>240</v>
      </c>
      <c r="G392" s="10">
        <v>45991</v>
      </c>
      <c r="H392" s="94">
        <v>5126</v>
      </c>
      <c r="I392" s="10">
        <v>46022</v>
      </c>
      <c r="J392" s="94">
        <v>5334</v>
      </c>
      <c r="K392" s="47">
        <v>1</v>
      </c>
      <c r="L392" s="79">
        <f>J392-H392</f>
        <v>208</v>
      </c>
      <c r="M392" s="82">
        <f>субаренда!AE11</f>
        <v>11.911944</v>
      </c>
      <c r="N392" s="102">
        <f>L392*M392</f>
        <v>2477.6843520000002</v>
      </c>
      <c r="O392" s="10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99999999999999" customHeight="1" x14ac:dyDescent="0.3">
      <c r="A393" s="2"/>
      <c r="B393" s="452"/>
      <c r="C393" s="457"/>
      <c r="D393" s="457"/>
      <c r="E393" s="9" t="s">
        <v>305</v>
      </c>
      <c r="F393" s="6" t="s">
        <v>279</v>
      </c>
      <c r="G393" s="10">
        <v>45991</v>
      </c>
      <c r="H393" s="94">
        <v>1727</v>
      </c>
      <c r="I393" s="10">
        <v>46022</v>
      </c>
      <c r="J393" s="94">
        <v>1729</v>
      </c>
      <c r="K393" s="47">
        <v>1</v>
      </c>
      <c r="L393" s="79">
        <f>J393-H393</f>
        <v>2</v>
      </c>
      <c r="M393" s="82">
        <v>57.375</v>
      </c>
      <c r="N393" s="102">
        <f>L393*M393</f>
        <v>114.75</v>
      </c>
      <c r="O393" s="10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99999999999999" customHeight="1" x14ac:dyDescent="0.3">
      <c r="A394" s="2"/>
      <c r="B394" s="6">
        <v>2</v>
      </c>
      <c r="C394" s="93" t="s">
        <v>315</v>
      </c>
      <c r="D394" s="8"/>
      <c r="E394" s="9" t="s">
        <v>316</v>
      </c>
      <c r="F394" s="6" t="s">
        <v>240</v>
      </c>
      <c r="G394" s="10">
        <v>45991</v>
      </c>
      <c r="H394" s="94">
        <v>1723</v>
      </c>
      <c r="I394" s="10">
        <v>46022</v>
      </c>
      <c r="J394" s="94">
        <v>1829</v>
      </c>
      <c r="K394" s="106">
        <v>1</v>
      </c>
      <c r="L394" s="48">
        <f>J394-H394</f>
        <v>106</v>
      </c>
      <c r="M394" s="82">
        <f>M392</f>
        <v>11.911944</v>
      </c>
      <c r="N394" s="103">
        <f>L394*M394</f>
        <v>1262.666064</v>
      </c>
      <c r="O394" s="10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99999999999999" customHeight="1" x14ac:dyDescent="0.3">
      <c r="A395" s="2"/>
      <c r="B395" s="116">
        <v>3</v>
      </c>
      <c r="C395" s="114" t="s">
        <v>323</v>
      </c>
      <c r="D395" s="117"/>
      <c r="E395" s="114" t="s">
        <v>283</v>
      </c>
      <c r="F395" s="116" t="s">
        <v>240</v>
      </c>
      <c r="G395" s="10">
        <v>45991</v>
      </c>
      <c r="H395" s="119">
        <v>33428</v>
      </c>
      <c r="I395" s="10">
        <v>46022</v>
      </c>
      <c r="J395" s="119">
        <v>33800</v>
      </c>
      <c r="K395" s="121">
        <v>1</v>
      </c>
      <c r="L395" s="122">
        <f>J395-H395</f>
        <v>372</v>
      </c>
      <c r="M395" s="123">
        <f>M394</f>
        <v>11.911944</v>
      </c>
      <c r="N395" s="124">
        <f>L395*M395</f>
        <v>4431.243168</v>
      </c>
      <c r="O395" s="141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99999999999999" customHeight="1" x14ac:dyDescent="0.3">
      <c r="A396" s="2"/>
      <c r="B396" s="116">
        <v>4</v>
      </c>
      <c r="C396" s="114"/>
      <c r="D396" s="117"/>
      <c r="E396" s="114"/>
      <c r="F396" s="116"/>
      <c r="G396" s="10"/>
      <c r="H396" s="119"/>
      <c r="I396" s="10"/>
      <c r="J396" s="119"/>
      <c r="K396" s="121"/>
      <c r="L396" s="122"/>
      <c r="M396" s="139"/>
      <c r="N396" s="124"/>
      <c r="O396" s="141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99999999999999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99999999999999" customHeight="1" x14ac:dyDescent="0.3">
      <c r="A398" s="2"/>
      <c r="B398" s="458" t="s">
        <v>386</v>
      </c>
      <c r="C398" s="458"/>
      <c r="D398" s="458"/>
      <c r="E398" s="458"/>
      <c r="F398" s="458"/>
      <c r="G398" s="458"/>
      <c r="H398" s="458"/>
      <c r="I398" s="458"/>
      <c r="J398" s="458"/>
      <c r="K398" s="458"/>
      <c r="L398" s="458"/>
      <c r="M398" s="458"/>
      <c r="N398" s="458"/>
      <c r="O398" s="45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99999999999999" customHeight="1" x14ac:dyDescent="0.3">
      <c r="A399" s="2"/>
      <c r="B399" s="459" t="s">
        <v>224</v>
      </c>
      <c r="C399" s="459"/>
      <c r="D399" s="3"/>
      <c r="E399" s="460" t="s">
        <v>275</v>
      </c>
      <c r="F399" s="460"/>
      <c r="G399" s="460"/>
      <c r="H399" s="460"/>
      <c r="I399" s="460"/>
      <c r="J399" s="460"/>
      <c r="K399" s="460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99999999999999" customHeight="1" x14ac:dyDescent="0.3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99999999999999" customHeight="1" x14ac:dyDescent="0.3">
      <c r="A401" s="2"/>
      <c r="B401" s="453" t="s">
        <v>227</v>
      </c>
      <c r="C401" s="453" t="s">
        <v>228</v>
      </c>
      <c r="D401" s="453" t="s">
        <v>229</v>
      </c>
      <c r="E401" s="454" t="s">
        <v>230</v>
      </c>
      <c r="F401" s="454" t="s">
        <v>231</v>
      </c>
      <c r="G401" s="454" t="s">
        <v>232</v>
      </c>
      <c r="H401" s="454"/>
      <c r="I401" s="454"/>
      <c r="J401" s="454"/>
      <c r="K401" s="454" t="s">
        <v>9</v>
      </c>
      <c r="L401" s="454" t="s">
        <v>292</v>
      </c>
      <c r="M401" s="455" t="s">
        <v>293</v>
      </c>
      <c r="N401" s="453" t="s">
        <v>18</v>
      </c>
      <c r="O401" s="453" t="s">
        <v>297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99999999999999" customHeight="1" x14ac:dyDescent="0.3">
      <c r="A402" s="2"/>
      <c r="B402" s="453"/>
      <c r="C402" s="453"/>
      <c r="D402" s="453"/>
      <c r="E402" s="454"/>
      <c r="F402" s="454"/>
      <c r="G402" s="7" t="s">
        <v>235</v>
      </c>
      <c r="H402" s="6" t="s">
        <v>236</v>
      </c>
      <c r="I402" s="7" t="s">
        <v>235</v>
      </c>
      <c r="J402" s="6" t="s">
        <v>236</v>
      </c>
      <c r="K402" s="454"/>
      <c r="L402" s="454"/>
      <c r="M402" s="454"/>
      <c r="N402" s="454"/>
      <c r="O402" s="454" t="s">
        <v>297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99999999999999" customHeight="1" x14ac:dyDescent="0.3">
      <c r="A403" s="2"/>
      <c r="B403" s="451">
        <v>1</v>
      </c>
      <c r="C403" s="456" t="s">
        <v>309</v>
      </c>
      <c r="D403" s="456"/>
      <c r="E403" s="9" t="s">
        <v>314</v>
      </c>
      <c r="F403" s="6" t="s">
        <v>240</v>
      </c>
      <c r="G403" s="10">
        <v>46022</v>
      </c>
      <c r="H403" s="94">
        <v>5334</v>
      </c>
      <c r="I403" s="10">
        <v>46023</v>
      </c>
      <c r="J403" s="94">
        <v>5564</v>
      </c>
      <c r="K403" s="47">
        <v>1</v>
      </c>
      <c r="L403" s="79">
        <f>J403-H403</f>
        <v>230</v>
      </c>
      <c r="M403" s="82">
        <v>11.911944</v>
      </c>
      <c r="N403" s="102">
        <f>L403*M403</f>
        <v>2739.74712</v>
      </c>
      <c r="O403" s="10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99999999999999" customHeight="1" x14ac:dyDescent="0.3">
      <c r="A404" s="2"/>
      <c r="B404" s="452"/>
      <c r="C404" s="457"/>
      <c r="D404" s="457"/>
      <c r="E404" s="9" t="s">
        <v>305</v>
      </c>
      <c r="F404" s="6" t="s">
        <v>279</v>
      </c>
      <c r="G404" s="10">
        <v>46022</v>
      </c>
      <c r="H404" s="94">
        <v>1729</v>
      </c>
      <c r="I404" s="10">
        <v>46023</v>
      </c>
      <c r="J404" s="94">
        <v>1731</v>
      </c>
      <c r="K404" s="47">
        <v>1</v>
      </c>
      <c r="L404" s="79">
        <f>J404-H404</f>
        <v>2</v>
      </c>
      <c r="M404" s="82">
        <v>57.375</v>
      </c>
      <c r="N404" s="102">
        <f>L404*M404</f>
        <v>114.75</v>
      </c>
      <c r="O404" s="10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99999999999999" customHeight="1" x14ac:dyDescent="0.3">
      <c r="A405" s="2"/>
      <c r="B405" s="6">
        <v>2</v>
      </c>
      <c r="C405" s="93" t="s">
        <v>315</v>
      </c>
      <c r="D405" s="8"/>
      <c r="E405" s="9" t="s">
        <v>316</v>
      </c>
      <c r="F405" s="6" t="s">
        <v>240</v>
      </c>
      <c r="G405" s="10">
        <v>46022</v>
      </c>
      <c r="H405" s="94">
        <v>1829</v>
      </c>
      <c r="I405" s="10">
        <v>46023</v>
      </c>
      <c r="J405" s="94">
        <v>1966</v>
      </c>
      <c r="K405" s="106">
        <v>1</v>
      </c>
      <c r="L405" s="48">
        <f>J405-H405</f>
        <v>137</v>
      </c>
      <c r="M405" s="82">
        <f>M403</f>
        <v>11.911944</v>
      </c>
      <c r="N405" s="103">
        <f>L405*M405</f>
        <v>1631.936328</v>
      </c>
      <c r="O405" s="10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99999999999999" customHeight="1" x14ac:dyDescent="0.3">
      <c r="A406" s="2"/>
      <c r="B406" s="116">
        <v>3</v>
      </c>
      <c r="C406" s="114" t="s">
        <v>323</v>
      </c>
      <c r="D406" s="117"/>
      <c r="E406" s="114" t="s">
        <v>283</v>
      </c>
      <c r="F406" s="116" t="s">
        <v>240</v>
      </c>
      <c r="G406" s="10">
        <v>46022</v>
      </c>
      <c r="H406" s="119">
        <v>33800</v>
      </c>
      <c r="I406" s="10">
        <v>46023</v>
      </c>
      <c r="J406" s="119">
        <v>34033</v>
      </c>
      <c r="K406" s="121">
        <v>1</v>
      </c>
      <c r="L406" s="122">
        <f>J406-H406</f>
        <v>233</v>
      </c>
      <c r="M406" s="123">
        <f>M405</f>
        <v>11.911944</v>
      </c>
      <c r="N406" s="124">
        <f>L406*M406</f>
        <v>2775.4829519999998</v>
      </c>
      <c r="O406" s="141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99999999999999" customHeight="1" x14ac:dyDescent="0.3">
      <c r="A407" s="2"/>
      <c r="B407" s="116">
        <v>4</v>
      </c>
      <c r="C407" s="114"/>
      <c r="D407" s="117"/>
      <c r="E407" s="114"/>
      <c r="F407" s="116"/>
      <c r="G407" s="10"/>
      <c r="H407" s="119"/>
      <c r="I407" s="10"/>
      <c r="J407" s="119"/>
      <c r="K407" s="121"/>
      <c r="L407" s="122"/>
      <c r="M407" s="139"/>
      <c r="N407" s="124"/>
      <c r="O407" s="141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99999999999999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99999999999999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99999999999999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99999999999999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99999999999999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99999999999999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99999999999999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99999999999999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99999999999999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99999999999999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99999999999999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99999999999999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99999999999999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99999999999999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99999999999999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99999999999999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99999999999999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99999999999999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99999999999999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99999999999999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99999999999999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99999999999999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99999999999999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99999999999999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99999999999999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99999999999999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99999999999999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99999999999999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99999999999999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99999999999999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99999999999999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99999999999999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99999999999999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99999999999999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99999999999999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99999999999999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99999999999999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99999999999999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99999999999999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99999999999999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99999999999999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99999999999999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99999999999999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99999999999999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99999999999999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99999999999999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99999999999999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99999999999999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99999999999999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99999999999999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99999999999999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99999999999999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99999999999999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99999999999999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99999999999999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99999999999999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99999999999999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99999999999999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99999999999999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99999999999999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99999999999999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99999999999999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99999999999999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99999999999999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99999999999999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99999999999999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99999999999999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99999999999999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99999999999999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99999999999999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99999999999999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99999999999999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99999999999999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99999999999999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99999999999999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99999999999999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99999999999999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99999999999999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99999999999999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99999999999999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99999999999999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99999999999999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99999999999999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99999999999999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99999999999999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99999999999999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99999999999999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99999999999999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99999999999999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99999999999999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99999999999999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99999999999999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99999999999999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99999999999999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99999999999999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99999999999999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99999999999999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99999999999999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99999999999999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99999999999999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99999999999999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99999999999999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99999999999999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99999999999999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99999999999999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99999999999999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99999999999999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99999999999999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99999999999999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99999999999999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99999999999999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99999999999999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99999999999999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99999999999999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99999999999999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99999999999999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99999999999999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99999999999999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99999999999999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99999999999999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99999999999999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99999999999999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99999999999999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99999999999999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99999999999999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99999999999999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99999999999999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99999999999999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99999999999999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99999999999999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99999999999999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99999999999999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99999999999999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99999999999999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99999999999999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99999999999999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99999999999999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99999999999999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99999999999999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99999999999999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99999999999999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99999999999999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99999999999999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99999999999999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99999999999999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99999999999999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99999999999999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99999999999999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99999999999999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99999999999999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99999999999999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99999999999999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99999999999999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99999999999999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99999999999999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99999999999999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99999999999999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99999999999999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99999999999999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99999999999999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99999999999999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99999999999999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99999999999999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99999999999999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99999999999999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99999999999999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99999999999999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99999999999999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99999999999999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99999999999999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99999999999999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99999999999999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99999999999999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99999999999999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99999999999999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99999999999999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99999999999999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99999999999999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99999999999999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99999999999999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99999999999999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99999999999999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99999999999999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99999999999999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99999999999999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99999999999999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99999999999999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99999999999999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99999999999999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99999999999999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99999999999999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99999999999999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99999999999999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99999999999999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99999999999999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99999999999999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99999999999999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99999999999999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99999999999999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99999999999999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99999999999999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99999999999999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99999999999999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99999999999999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99999999999999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99999999999999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99999999999999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99999999999999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99999999999999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99999999999999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99999999999999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99999999999999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99999999999999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99999999999999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99999999999999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99999999999999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99999999999999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99999999999999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99999999999999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99999999999999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99999999999999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99999999999999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99999999999999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99999999999999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99999999999999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99999999999999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99999999999999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99999999999999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99999999999999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99999999999999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99999999999999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99999999999999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99999999999999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99999999999999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99999999999999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99999999999999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99999999999999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99999999999999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99999999999999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99999999999999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99999999999999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99999999999999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99999999999999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99999999999999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99999999999999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99999999999999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99999999999999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99999999999999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99999999999999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99999999999999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99999999999999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99999999999999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99999999999999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99999999999999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99999999999999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99999999999999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99999999999999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99999999999999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99999999999999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99999999999999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99999999999999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99999999999999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99999999999999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99999999999999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99999999999999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99999999999999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99999999999999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99999999999999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99999999999999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99999999999999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99999999999999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99999999999999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99999999999999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99999999999999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99999999999999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99999999999999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99999999999999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99999999999999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99999999999999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99999999999999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99999999999999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99999999999999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99999999999999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99999999999999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99999999999999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99999999999999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99999999999999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99999999999999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99999999999999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99999999999999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99999999999999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99999999999999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99999999999999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99999999999999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99999999999999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99999999999999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99999999999999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99999999999999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99999999999999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99999999999999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99999999999999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99999999999999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99999999999999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99999999999999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99999999999999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99999999999999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99999999999999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99999999999999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99999999999999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99999999999999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99999999999999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99999999999999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99999999999999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99999999999999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99999999999999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99999999999999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99999999999999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99999999999999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99999999999999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99999999999999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99999999999999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99999999999999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99999999999999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99999999999999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99999999999999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99999999999999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99999999999999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99999999999999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99999999999999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99999999999999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99999999999999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99999999999999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99999999999999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99999999999999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99999999999999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99999999999999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99999999999999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99999999999999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99999999999999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99999999999999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99999999999999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99999999999999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99999999999999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99999999999999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99999999999999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99999999999999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99999999999999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99999999999999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99999999999999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99999999999999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99999999999999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99999999999999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99999999999999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99999999999999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99999999999999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99999999999999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99999999999999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99999999999999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99999999999999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99999999999999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99999999999999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99999999999999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99999999999999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99999999999999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99999999999999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99999999999999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99999999999999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99999999999999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99999999999999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99999999999999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99999999999999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99999999999999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99999999999999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99999999999999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99999999999999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99999999999999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99999999999999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99999999999999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99999999999999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99999999999999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99999999999999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99999999999999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99999999999999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99999999999999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99999999999999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99999999999999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99999999999999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99999999999999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99999999999999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99999999999999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99999999999999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99999999999999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99999999999999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99999999999999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99999999999999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99999999999999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99999999999999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99999999999999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99999999999999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99999999999999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99999999999999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99999999999999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99999999999999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99999999999999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99999999999999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99999999999999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99999999999999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99999999999999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99999999999999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99999999999999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99999999999999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99999999999999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99999999999999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99999999999999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99999999999999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99999999999999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99999999999999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99999999999999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99999999999999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99999999999999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99999999999999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99999999999999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99999999999999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99999999999999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99999999999999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99999999999999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99999999999999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99999999999999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99999999999999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99999999999999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99999999999999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99999999999999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99999999999999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99999999999999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99999999999999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99999999999999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99999999999999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99999999999999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99999999999999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99999999999999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99999999999999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99999999999999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99999999999999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99999999999999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99999999999999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99999999999999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99999999999999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99999999999999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99999999999999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99999999999999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99999999999999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99999999999999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99999999999999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99999999999999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99999999999999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99999999999999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99999999999999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99999999999999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99999999999999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99999999999999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99999999999999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99999999999999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99999999999999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99999999999999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99999999999999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99999999999999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99999999999999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99999999999999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99999999999999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99999999999999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99999999999999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99999999999999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99999999999999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99999999999999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99999999999999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99999999999999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99999999999999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99999999999999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99999999999999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99999999999999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99999999999999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99999999999999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99999999999999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99999999999999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99999999999999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99999999999999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99999999999999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99999999999999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99999999999999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99999999999999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99999999999999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99999999999999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99999999999999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99999999999999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99999999999999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99999999999999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99999999999999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99999999999999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99999999999999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99999999999999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99999999999999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99999999999999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99999999999999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99999999999999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99999999999999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99999999999999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99999999999999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99999999999999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99999999999999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99999999999999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99999999999999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99999999999999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99999999999999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99999999999999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99999999999999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99999999999999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99999999999999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99999999999999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99999999999999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99999999999999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99999999999999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99999999999999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99999999999999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99999999999999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99999999999999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99999999999999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99999999999999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99999999999999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99999999999999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99999999999999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99999999999999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99999999999999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99999999999999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99999999999999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99999999999999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99999999999999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99999999999999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99999999999999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99999999999999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99999999999999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99999999999999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99999999999999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99999999999999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99999999999999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99999999999999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99999999999999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99999999999999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99999999999999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99999999999999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99999999999999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99999999999999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99999999999999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99999999999999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99999999999999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99999999999999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99999999999999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99999999999999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99999999999999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99999999999999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99999999999999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99999999999999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99999999999999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99999999999999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99999999999999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99999999999999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99999999999999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99999999999999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641">
    <mergeCell ref="B37:C37"/>
    <mergeCell ref="B403:B404"/>
    <mergeCell ref="C403:C404"/>
    <mergeCell ref="D403:D404"/>
    <mergeCell ref="B398:O398"/>
    <mergeCell ref="B399:C399"/>
    <mergeCell ref="E399:K399"/>
    <mergeCell ref="B401:B402"/>
    <mergeCell ref="C401:C402"/>
    <mergeCell ref="D401:D402"/>
    <mergeCell ref="E401:E402"/>
    <mergeCell ref="F401:F402"/>
    <mergeCell ref="G401:J401"/>
    <mergeCell ref="K401:K402"/>
    <mergeCell ref="L401:L402"/>
    <mergeCell ref="M401:M402"/>
    <mergeCell ref="N401:N402"/>
    <mergeCell ref="O401:O402"/>
    <mergeCell ref="C97:C98"/>
    <mergeCell ref="B47:C47"/>
    <mergeCell ref="E47:K47"/>
    <mergeCell ref="F105:F106"/>
    <mergeCell ref="F115:F116"/>
    <mergeCell ref="B102:N102"/>
    <mergeCell ref="B29:B30"/>
    <mergeCell ref="B31:B32"/>
    <mergeCell ref="B39:B40"/>
    <mergeCell ref="B41:B42"/>
    <mergeCell ref="B27:C27"/>
    <mergeCell ref="B3:N3"/>
    <mergeCell ref="B4:C4"/>
    <mergeCell ref="E4:K4"/>
    <mergeCell ref="G6:J6"/>
    <mergeCell ref="B15:N15"/>
    <mergeCell ref="B16:C16"/>
    <mergeCell ref="E16:K16"/>
    <mergeCell ref="G18:J18"/>
    <mergeCell ref="B26:N26"/>
    <mergeCell ref="B6:B7"/>
    <mergeCell ref="B8:B9"/>
    <mergeCell ref="B18:B19"/>
    <mergeCell ref="B20:B21"/>
    <mergeCell ref="E27:K27"/>
    <mergeCell ref="G29:J29"/>
    <mergeCell ref="B36:N36"/>
    <mergeCell ref="E6:E7"/>
    <mergeCell ref="E18:E19"/>
    <mergeCell ref="E29:E30"/>
    <mergeCell ref="B97:B98"/>
    <mergeCell ref="G49:J49"/>
    <mergeCell ref="B62:N62"/>
    <mergeCell ref="B63:C63"/>
    <mergeCell ref="E63:K63"/>
    <mergeCell ref="G65:J65"/>
    <mergeCell ref="B72:N72"/>
    <mergeCell ref="B73:C73"/>
    <mergeCell ref="E73:K73"/>
    <mergeCell ref="G75:J75"/>
    <mergeCell ref="B51:B52"/>
    <mergeCell ref="B57:B58"/>
    <mergeCell ref="B65:B66"/>
    <mergeCell ref="B67:B68"/>
    <mergeCell ref="B75:B76"/>
    <mergeCell ref="B49:B50"/>
    <mergeCell ref="B77:B78"/>
    <mergeCell ref="B85:B86"/>
    <mergeCell ref="C95:C96"/>
    <mergeCell ref="B103:C103"/>
    <mergeCell ref="E103:K103"/>
    <mergeCell ref="G105:J105"/>
    <mergeCell ref="B112:N112"/>
    <mergeCell ref="B113:C113"/>
    <mergeCell ref="E113:K113"/>
    <mergeCell ref="G115:J115"/>
    <mergeCell ref="B123:N123"/>
    <mergeCell ref="B124:C124"/>
    <mergeCell ref="E124:K124"/>
    <mergeCell ref="B105:B106"/>
    <mergeCell ref="B107:B108"/>
    <mergeCell ref="B115:B116"/>
    <mergeCell ref="B117:B118"/>
    <mergeCell ref="C105:C106"/>
    <mergeCell ref="C107:C108"/>
    <mergeCell ref="C115:C116"/>
    <mergeCell ref="C117:C118"/>
    <mergeCell ref="D107:D108"/>
    <mergeCell ref="D115:D116"/>
    <mergeCell ref="D117:D118"/>
    <mergeCell ref="E105:E106"/>
    <mergeCell ref="E115:E116"/>
    <mergeCell ref="K105:K106"/>
    <mergeCell ref="G126:J126"/>
    <mergeCell ref="B135:N135"/>
    <mergeCell ref="B136:C136"/>
    <mergeCell ref="E136:K136"/>
    <mergeCell ref="G138:J138"/>
    <mergeCell ref="B149:N149"/>
    <mergeCell ref="B150:C150"/>
    <mergeCell ref="E150:K150"/>
    <mergeCell ref="G152:J152"/>
    <mergeCell ref="B126:B127"/>
    <mergeCell ref="B128:B129"/>
    <mergeCell ref="B138:B139"/>
    <mergeCell ref="B140:B141"/>
    <mergeCell ref="B152:B153"/>
    <mergeCell ref="C126:C127"/>
    <mergeCell ref="C128:C129"/>
    <mergeCell ref="C138:C139"/>
    <mergeCell ref="C140:C141"/>
    <mergeCell ref="C152:C153"/>
    <mergeCell ref="D126:D127"/>
    <mergeCell ref="D128:D129"/>
    <mergeCell ref="D138:D139"/>
    <mergeCell ref="D140:D141"/>
    <mergeCell ref="D152:D153"/>
    <mergeCell ref="E274:E275"/>
    <mergeCell ref="E284:E285"/>
    <mergeCell ref="E294:E295"/>
    <mergeCell ref="F274:F275"/>
    <mergeCell ref="F284:F285"/>
    <mergeCell ref="F294:F295"/>
    <mergeCell ref="K294:K295"/>
    <mergeCell ref="L264:L265"/>
    <mergeCell ref="D205:D206"/>
    <mergeCell ref="D213:D214"/>
    <mergeCell ref="D215:D216"/>
    <mergeCell ref="D223:D224"/>
    <mergeCell ref="G274:J274"/>
    <mergeCell ref="B281:O281"/>
    <mergeCell ref="B282:C282"/>
    <mergeCell ref="E282:K282"/>
    <mergeCell ref="G284:J284"/>
    <mergeCell ref="B291:O291"/>
    <mergeCell ref="B292:C292"/>
    <mergeCell ref="E292:K292"/>
    <mergeCell ref="G294:J294"/>
    <mergeCell ref="B274:B275"/>
    <mergeCell ref="B276:B277"/>
    <mergeCell ref="B284:B285"/>
    <mergeCell ref="B251:C251"/>
    <mergeCell ref="E251:K251"/>
    <mergeCell ref="G253:J253"/>
    <mergeCell ref="B261:N261"/>
    <mergeCell ref="B262:C262"/>
    <mergeCell ref="E262:K262"/>
    <mergeCell ref="G264:J264"/>
    <mergeCell ref="B271:O271"/>
    <mergeCell ref="B272:C272"/>
    <mergeCell ref="E272:K272"/>
    <mergeCell ref="C255:C256"/>
    <mergeCell ref="C264:C265"/>
    <mergeCell ref="C266:C267"/>
    <mergeCell ref="F264:F265"/>
    <mergeCell ref="E264:E265"/>
    <mergeCell ref="B255:B256"/>
    <mergeCell ref="B264:B265"/>
    <mergeCell ref="B266:B267"/>
    <mergeCell ref="D253:D254"/>
    <mergeCell ref="D255:D256"/>
    <mergeCell ref="D264:D265"/>
    <mergeCell ref="D266:D267"/>
    <mergeCell ref="F253:F254"/>
    <mergeCell ref="C253:C254"/>
    <mergeCell ref="B286:B287"/>
    <mergeCell ref="B294:B295"/>
    <mergeCell ref="C274:C275"/>
    <mergeCell ref="C276:C277"/>
    <mergeCell ref="C284:C285"/>
    <mergeCell ref="C286:C287"/>
    <mergeCell ref="C294:C295"/>
    <mergeCell ref="D274:D275"/>
    <mergeCell ref="D276:D277"/>
    <mergeCell ref="D284:D285"/>
    <mergeCell ref="D286:D287"/>
    <mergeCell ref="D294:D295"/>
    <mergeCell ref="D351:D352"/>
    <mergeCell ref="D359:D360"/>
    <mergeCell ref="D361:D362"/>
    <mergeCell ref="D369:D370"/>
    <mergeCell ref="M327:M328"/>
    <mergeCell ref="M338:M339"/>
    <mergeCell ref="N327:N328"/>
    <mergeCell ref="N338:N339"/>
    <mergeCell ref="N305:N306"/>
    <mergeCell ref="E325:K325"/>
    <mergeCell ref="G327:J327"/>
    <mergeCell ref="B335:O335"/>
    <mergeCell ref="B336:C336"/>
    <mergeCell ref="E336:K336"/>
    <mergeCell ref="G338:J338"/>
    <mergeCell ref="B346:O346"/>
    <mergeCell ref="B347:C347"/>
    <mergeCell ref="E347:K347"/>
    <mergeCell ref="E327:E328"/>
    <mergeCell ref="E338:E339"/>
    <mergeCell ref="F327:F328"/>
    <mergeCell ref="F338:F339"/>
    <mergeCell ref="K327:K328"/>
    <mergeCell ref="K316:K317"/>
    <mergeCell ref="D225:D226"/>
    <mergeCell ref="E203:E204"/>
    <mergeCell ref="G203:J203"/>
    <mergeCell ref="B210:N210"/>
    <mergeCell ref="B211:C211"/>
    <mergeCell ref="E211:K211"/>
    <mergeCell ref="G213:J213"/>
    <mergeCell ref="B200:N200"/>
    <mergeCell ref="B201:C201"/>
    <mergeCell ref="E201:K201"/>
    <mergeCell ref="B241:C241"/>
    <mergeCell ref="E241:K241"/>
    <mergeCell ref="G243:J243"/>
    <mergeCell ref="B250:N250"/>
    <mergeCell ref="D233:D234"/>
    <mergeCell ref="D235:D236"/>
    <mergeCell ref="D243:D244"/>
    <mergeCell ref="D245:D246"/>
    <mergeCell ref="F243:F244"/>
    <mergeCell ref="B233:B234"/>
    <mergeCell ref="B235:B236"/>
    <mergeCell ref="C235:C236"/>
    <mergeCell ref="C243:C244"/>
    <mergeCell ref="C245:C246"/>
    <mergeCell ref="E243:E244"/>
    <mergeCell ref="N233:N234"/>
    <mergeCell ref="M243:M244"/>
    <mergeCell ref="B243:B244"/>
    <mergeCell ref="K243:K244"/>
    <mergeCell ref="B392:B393"/>
    <mergeCell ref="C6:C7"/>
    <mergeCell ref="C8:C9"/>
    <mergeCell ref="C18:C19"/>
    <mergeCell ref="C20:C21"/>
    <mergeCell ref="C29:C30"/>
    <mergeCell ref="C31:C32"/>
    <mergeCell ref="C39:C40"/>
    <mergeCell ref="C41:C42"/>
    <mergeCell ref="C49:C50"/>
    <mergeCell ref="C51:C52"/>
    <mergeCell ref="C57:C58"/>
    <mergeCell ref="C65:C66"/>
    <mergeCell ref="C67:C68"/>
    <mergeCell ref="C75:C76"/>
    <mergeCell ref="C77:C78"/>
    <mergeCell ref="C85:C86"/>
    <mergeCell ref="C87:C88"/>
    <mergeCell ref="B245:B246"/>
    <mergeCell ref="B253:B254"/>
    <mergeCell ref="B296:B297"/>
    <mergeCell ref="B305:B306"/>
    <mergeCell ref="B307:B308"/>
    <mergeCell ref="B316:B317"/>
    <mergeCell ref="C154:C155"/>
    <mergeCell ref="C162:C163"/>
    <mergeCell ref="C164:C165"/>
    <mergeCell ref="C172:C173"/>
    <mergeCell ref="C174:C175"/>
    <mergeCell ref="C183:C184"/>
    <mergeCell ref="C185:C186"/>
    <mergeCell ref="C193:C194"/>
    <mergeCell ref="C195:C196"/>
    <mergeCell ref="B159:N159"/>
    <mergeCell ref="B160:C160"/>
    <mergeCell ref="E160:K160"/>
    <mergeCell ref="G162:J162"/>
    <mergeCell ref="B169:N169"/>
    <mergeCell ref="B170:C170"/>
    <mergeCell ref="E170:K170"/>
    <mergeCell ref="G172:J172"/>
    <mergeCell ref="B180:N180"/>
    <mergeCell ref="E181:K181"/>
    <mergeCell ref="G183:J183"/>
    <mergeCell ref="B154:B155"/>
    <mergeCell ref="B162:B163"/>
    <mergeCell ref="B164:B165"/>
    <mergeCell ref="B172:B173"/>
    <mergeCell ref="C392:C393"/>
    <mergeCell ref="D6:D7"/>
    <mergeCell ref="D8:D9"/>
    <mergeCell ref="D18:D19"/>
    <mergeCell ref="D20:D21"/>
    <mergeCell ref="D29:D30"/>
    <mergeCell ref="D31:D32"/>
    <mergeCell ref="D39:D40"/>
    <mergeCell ref="D41:D42"/>
    <mergeCell ref="D49:D50"/>
    <mergeCell ref="D51:D52"/>
    <mergeCell ref="D65:D66"/>
    <mergeCell ref="D67:D68"/>
    <mergeCell ref="D75:D76"/>
    <mergeCell ref="D77:D78"/>
    <mergeCell ref="D85:D86"/>
    <mergeCell ref="D87:D88"/>
    <mergeCell ref="D95:D96"/>
    <mergeCell ref="D97:D98"/>
    <mergeCell ref="D105:D106"/>
    <mergeCell ref="C296:C297"/>
    <mergeCell ref="C305:C306"/>
    <mergeCell ref="C307:C308"/>
    <mergeCell ref="C316:C317"/>
    <mergeCell ref="E39:E40"/>
    <mergeCell ref="E49:E50"/>
    <mergeCell ref="E65:E66"/>
    <mergeCell ref="E75:E76"/>
    <mergeCell ref="E85:E86"/>
    <mergeCell ref="E95:E96"/>
    <mergeCell ref="B82:N82"/>
    <mergeCell ref="B83:C83"/>
    <mergeCell ref="E83:K83"/>
    <mergeCell ref="G85:J85"/>
    <mergeCell ref="B92:N92"/>
    <mergeCell ref="B93:C93"/>
    <mergeCell ref="E93:K93"/>
    <mergeCell ref="G95:J95"/>
    <mergeCell ref="B87:B88"/>
    <mergeCell ref="B95:B96"/>
    <mergeCell ref="K253:K254"/>
    <mergeCell ref="B174:B175"/>
    <mergeCell ref="F203:F204"/>
    <mergeCell ref="F213:F214"/>
    <mergeCell ref="F223:F224"/>
    <mergeCell ref="F233:F234"/>
    <mergeCell ref="E213:E214"/>
    <mergeCell ref="E223:E224"/>
    <mergeCell ref="E233:E234"/>
    <mergeCell ref="C225:C226"/>
    <mergeCell ref="C233:C234"/>
    <mergeCell ref="B225:B226"/>
    <mergeCell ref="B183:B184"/>
    <mergeCell ref="B185:B186"/>
    <mergeCell ref="B193:B194"/>
    <mergeCell ref="B195:B196"/>
    <mergeCell ref="E183:E184"/>
    <mergeCell ref="E193:E194"/>
    <mergeCell ref="B181:C181"/>
    <mergeCell ref="B230:N230"/>
    <mergeCell ref="B231:C231"/>
    <mergeCell ref="E231:K231"/>
    <mergeCell ref="G233:J233"/>
    <mergeCell ref="B240:N240"/>
    <mergeCell ref="D349:D350"/>
    <mergeCell ref="E253:E254"/>
    <mergeCell ref="B220:N220"/>
    <mergeCell ref="B221:C221"/>
    <mergeCell ref="E221:K221"/>
    <mergeCell ref="G223:J223"/>
    <mergeCell ref="B203:B204"/>
    <mergeCell ref="B205:B206"/>
    <mergeCell ref="B213:B214"/>
    <mergeCell ref="B215:B216"/>
    <mergeCell ref="B223:B224"/>
    <mergeCell ref="C203:C204"/>
    <mergeCell ref="C205:C206"/>
    <mergeCell ref="C213:C214"/>
    <mergeCell ref="C215:C216"/>
    <mergeCell ref="C223:C224"/>
    <mergeCell ref="D203:D204"/>
    <mergeCell ref="L203:L204"/>
    <mergeCell ref="L213:L214"/>
    <mergeCell ref="L223:L224"/>
    <mergeCell ref="L233:L234"/>
    <mergeCell ref="L243:L244"/>
    <mergeCell ref="L253:L254"/>
    <mergeCell ref="N203:N204"/>
    <mergeCell ref="K305:K306"/>
    <mergeCell ref="D371:D372"/>
    <mergeCell ref="D380:D381"/>
    <mergeCell ref="E367:K367"/>
    <mergeCell ref="G369:J369"/>
    <mergeCell ref="E349:E350"/>
    <mergeCell ref="E359:E360"/>
    <mergeCell ref="E369:E370"/>
    <mergeCell ref="K338:K339"/>
    <mergeCell ref="G349:J349"/>
    <mergeCell ref="B356:O356"/>
    <mergeCell ref="E378:K378"/>
    <mergeCell ref="G380:J380"/>
    <mergeCell ref="E357:K357"/>
    <mergeCell ref="G359:J359"/>
    <mergeCell ref="F349:F350"/>
    <mergeCell ref="F359:F360"/>
    <mergeCell ref="F369:F370"/>
    <mergeCell ref="K349:K350"/>
    <mergeCell ref="K359:K360"/>
    <mergeCell ref="K369:K370"/>
    <mergeCell ref="C371:C372"/>
    <mergeCell ref="B380:B381"/>
    <mergeCell ref="C369:C370"/>
    <mergeCell ref="E172:E173"/>
    <mergeCell ref="D392:D393"/>
    <mergeCell ref="D296:D297"/>
    <mergeCell ref="D305:D306"/>
    <mergeCell ref="D307:D308"/>
    <mergeCell ref="D316:D317"/>
    <mergeCell ref="D318:D319"/>
    <mergeCell ref="D327:D328"/>
    <mergeCell ref="D329:D330"/>
    <mergeCell ref="D338:D339"/>
    <mergeCell ref="D340:D341"/>
    <mergeCell ref="B302:O302"/>
    <mergeCell ref="B303:C303"/>
    <mergeCell ref="E303:K303"/>
    <mergeCell ref="G305:J305"/>
    <mergeCell ref="B313:O313"/>
    <mergeCell ref="B314:C314"/>
    <mergeCell ref="E314:K314"/>
    <mergeCell ref="G316:J316"/>
    <mergeCell ref="B324:O324"/>
    <mergeCell ref="E305:E306"/>
    <mergeCell ref="E316:E317"/>
    <mergeCell ref="F305:F306"/>
    <mergeCell ref="F316:F317"/>
    <mergeCell ref="F126:F127"/>
    <mergeCell ref="F138:F139"/>
    <mergeCell ref="F152:F153"/>
    <mergeCell ref="F162:F163"/>
    <mergeCell ref="F172:F173"/>
    <mergeCell ref="F183:F184"/>
    <mergeCell ref="F193:F194"/>
    <mergeCell ref="F6:F7"/>
    <mergeCell ref="F18:F19"/>
    <mergeCell ref="F29:F30"/>
    <mergeCell ref="F39:F40"/>
    <mergeCell ref="F49:F50"/>
    <mergeCell ref="F65:F66"/>
    <mergeCell ref="F75:F76"/>
    <mergeCell ref="F85:F86"/>
    <mergeCell ref="F95:F96"/>
    <mergeCell ref="E37:K37"/>
    <mergeCell ref="G39:J39"/>
    <mergeCell ref="B46:N46"/>
    <mergeCell ref="E126:E127"/>
    <mergeCell ref="E138:E139"/>
    <mergeCell ref="E152:E153"/>
    <mergeCell ref="E162:E163"/>
    <mergeCell ref="L6:L7"/>
    <mergeCell ref="K264:K265"/>
    <mergeCell ref="K274:K275"/>
    <mergeCell ref="K284:K285"/>
    <mergeCell ref="K203:K204"/>
    <mergeCell ref="K213:K214"/>
    <mergeCell ref="K223:K224"/>
    <mergeCell ref="K233:K234"/>
    <mergeCell ref="K6:K7"/>
    <mergeCell ref="K18:K19"/>
    <mergeCell ref="K29:K30"/>
    <mergeCell ref="K39:K40"/>
    <mergeCell ref="K49:K50"/>
    <mergeCell ref="K65:K66"/>
    <mergeCell ref="K75:K76"/>
    <mergeCell ref="K85:K86"/>
    <mergeCell ref="K95:K96"/>
    <mergeCell ref="K115:K116"/>
    <mergeCell ref="K126:K127"/>
    <mergeCell ref="K138:K139"/>
    <mergeCell ref="K152:K153"/>
    <mergeCell ref="K162:K163"/>
    <mergeCell ref="K172:K173"/>
    <mergeCell ref="K183:K184"/>
    <mergeCell ref="K193:K194"/>
    <mergeCell ref="D154:D155"/>
    <mergeCell ref="D162:D163"/>
    <mergeCell ref="D164:D165"/>
    <mergeCell ref="D172:D173"/>
    <mergeCell ref="D174:D175"/>
    <mergeCell ref="D183:D184"/>
    <mergeCell ref="D185:D186"/>
    <mergeCell ref="D193:D194"/>
    <mergeCell ref="D195:D196"/>
    <mergeCell ref="L18:L19"/>
    <mergeCell ref="L29:L30"/>
    <mergeCell ref="L39:L40"/>
    <mergeCell ref="L49:L50"/>
    <mergeCell ref="L65:L66"/>
    <mergeCell ref="L75:L76"/>
    <mergeCell ref="L85:L86"/>
    <mergeCell ref="L95:L96"/>
    <mergeCell ref="L294:L295"/>
    <mergeCell ref="L274:L275"/>
    <mergeCell ref="L284:L285"/>
    <mergeCell ref="L105:L106"/>
    <mergeCell ref="L115:L116"/>
    <mergeCell ref="L126:L127"/>
    <mergeCell ref="L138:L139"/>
    <mergeCell ref="L152:L153"/>
    <mergeCell ref="L162:L163"/>
    <mergeCell ref="L172:L173"/>
    <mergeCell ref="L183:L184"/>
    <mergeCell ref="L193:L194"/>
    <mergeCell ref="B190:N190"/>
    <mergeCell ref="B191:C191"/>
    <mergeCell ref="E191:K191"/>
    <mergeCell ref="G193:J193"/>
    <mergeCell ref="L349:L350"/>
    <mergeCell ref="L359:L360"/>
    <mergeCell ref="L369:L370"/>
    <mergeCell ref="L327:L328"/>
    <mergeCell ref="L338:L339"/>
    <mergeCell ref="M294:M295"/>
    <mergeCell ref="M349:M350"/>
    <mergeCell ref="M359:M360"/>
    <mergeCell ref="M369:M370"/>
    <mergeCell ref="L305:L306"/>
    <mergeCell ref="L316:L317"/>
    <mergeCell ref="M305:M306"/>
    <mergeCell ref="M316:M317"/>
    <mergeCell ref="M105:M106"/>
    <mergeCell ref="M115:M116"/>
    <mergeCell ref="M126:M127"/>
    <mergeCell ref="M138:M139"/>
    <mergeCell ref="M152:M153"/>
    <mergeCell ref="M162:M163"/>
    <mergeCell ref="M172:M173"/>
    <mergeCell ref="M183:M184"/>
    <mergeCell ref="M193:M194"/>
    <mergeCell ref="M6:M7"/>
    <mergeCell ref="M18:M19"/>
    <mergeCell ref="M29:M30"/>
    <mergeCell ref="M39:M40"/>
    <mergeCell ref="M49:M50"/>
    <mergeCell ref="M65:M66"/>
    <mergeCell ref="M75:M76"/>
    <mergeCell ref="M85:M86"/>
    <mergeCell ref="M95:M96"/>
    <mergeCell ref="M253:M254"/>
    <mergeCell ref="M264:M265"/>
    <mergeCell ref="M274:M275"/>
    <mergeCell ref="M284:M285"/>
    <mergeCell ref="M203:M204"/>
    <mergeCell ref="M213:M214"/>
    <mergeCell ref="M223:M224"/>
    <mergeCell ref="M233:M234"/>
    <mergeCell ref="N213:N214"/>
    <mergeCell ref="N223:N224"/>
    <mergeCell ref="N105:N106"/>
    <mergeCell ref="N115:N116"/>
    <mergeCell ref="N126:N127"/>
    <mergeCell ref="N138:N139"/>
    <mergeCell ref="N152:N153"/>
    <mergeCell ref="N162:N163"/>
    <mergeCell ref="N172:N173"/>
    <mergeCell ref="N183:N184"/>
    <mergeCell ref="N193:N194"/>
    <mergeCell ref="N6:N7"/>
    <mergeCell ref="N18:N19"/>
    <mergeCell ref="N29:N30"/>
    <mergeCell ref="N39:N40"/>
    <mergeCell ref="N49:N50"/>
    <mergeCell ref="N65:N66"/>
    <mergeCell ref="N75:N76"/>
    <mergeCell ref="N85:N86"/>
    <mergeCell ref="N95:N96"/>
    <mergeCell ref="O274:O275"/>
    <mergeCell ref="O380:O381"/>
    <mergeCell ref="O390:O391"/>
    <mergeCell ref="O284:O285"/>
    <mergeCell ref="N243:N244"/>
    <mergeCell ref="N253:N254"/>
    <mergeCell ref="N264:N265"/>
    <mergeCell ref="N274:N275"/>
    <mergeCell ref="N284:N285"/>
    <mergeCell ref="N294:N295"/>
    <mergeCell ref="N349:N350"/>
    <mergeCell ref="N359:N360"/>
    <mergeCell ref="N369:N370"/>
    <mergeCell ref="N316:N317"/>
    <mergeCell ref="O294:O295"/>
    <mergeCell ref="O305:O306"/>
    <mergeCell ref="O316:O317"/>
    <mergeCell ref="O327:O328"/>
    <mergeCell ref="O338:O339"/>
    <mergeCell ref="O349:O350"/>
    <mergeCell ref="O359:O360"/>
    <mergeCell ref="O369:O370"/>
    <mergeCell ref="B377:O377"/>
    <mergeCell ref="B378:C378"/>
    <mergeCell ref="O193:O194"/>
    <mergeCell ref="O203:O204"/>
    <mergeCell ref="O213:O214"/>
    <mergeCell ref="O223:O224"/>
    <mergeCell ref="O233:O234"/>
    <mergeCell ref="O235:O236"/>
    <mergeCell ref="O243:O244"/>
    <mergeCell ref="O253:O254"/>
    <mergeCell ref="O264:O265"/>
    <mergeCell ref="O95:O96"/>
    <mergeCell ref="O105:O106"/>
    <mergeCell ref="O115:O116"/>
    <mergeCell ref="O126:O127"/>
    <mergeCell ref="O138:O139"/>
    <mergeCell ref="O152:O153"/>
    <mergeCell ref="O162:O163"/>
    <mergeCell ref="O172:O173"/>
    <mergeCell ref="O183:O184"/>
    <mergeCell ref="C318:C319"/>
    <mergeCell ref="C327:C328"/>
    <mergeCell ref="C329:C330"/>
    <mergeCell ref="C338:C339"/>
    <mergeCell ref="C340:C341"/>
    <mergeCell ref="B371:B372"/>
    <mergeCell ref="B318:B319"/>
    <mergeCell ref="B327:B328"/>
    <mergeCell ref="B329:B330"/>
    <mergeCell ref="B338:B339"/>
    <mergeCell ref="B340:B341"/>
    <mergeCell ref="B349:B350"/>
    <mergeCell ref="B351:B352"/>
    <mergeCell ref="B357:C357"/>
    <mergeCell ref="B366:O366"/>
    <mergeCell ref="B367:C367"/>
    <mergeCell ref="B359:B360"/>
    <mergeCell ref="B361:B362"/>
    <mergeCell ref="B369:B370"/>
    <mergeCell ref="C349:C350"/>
    <mergeCell ref="C351:C352"/>
    <mergeCell ref="C359:C360"/>
    <mergeCell ref="C361:C362"/>
    <mergeCell ref="B325:C325"/>
    <mergeCell ref="B382:B383"/>
    <mergeCell ref="B390:B391"/>
    <mergeCell ref="N380:N381"/>
    <mergeCell ref="N390:N391"/>
    <mergeCell ref="M380:M381"/>
    <mergeCell ref="M390:M391"/>
    <mergeCell ref="K380:K381"/>
    <mergeCell ref="K390:K391"/>
    <mergeCell ref="E380:E381"/>
    <mergeCell ref="E390:E391"/>
    <mergeCell ref="C380:C381"/>
    <mergeCell ref="C382:C383"/>
    <mergeCell ref="C390:C391"/>
    <mergeCell ref="L380:L381"/>
    <mergeCell ref="L390:L391"/>
    <mergeCell ref="B387:O387"/>
    <mergeCell ref="B388:C388"/>
    <mergeCell ref="E388:K388"/>
    <mergeCell ref="G390:J390"/>
    <mergeCell ref="F380:F381"/>
    <mergeCell ref="F390:F391"/>
    <mergeCell ref="D382:D383"/>
    <mergeCell ref="D390:D391"/>
  </mergeCells>
  <pageMargins left="0.25" right="0.25" top="0.75" bottom="0.75" header="0.3" footer="0.3"/>
  <pageSetup paperSize="9" scale="47" firstPageNumber="0" fitToHeight="0" orientation="landscape" useFirstPageNumber="1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4:Z727"/>
  <sheetViews>
    <sheetView topLeftCell="A187" zoomScale="85" zoomScaleNormal="85" workbookViewId="0">
      <selection activeCell="J206" sqref="J206"/>
    </sheetView>
  </sheetViews>
  <sheetFormatPr defaultColWidth="14.42578125" defaultRowHeight="29.45" customHeight="1" x14ac:dyDescent="0.25"/>
  <cols>
    <col min="1" max="2" width="5.7109375" style="1" customWidth="1"/>
    <col min="3" max="3" width="25.85546875" style="1" customWidth="1"/>
    <col min="4" max="4" width="20.42578125" style="1" customWidth="1"/>
    <col min="5" max="5" width="33" style="1" customWidth="1"/>
    <col min="6" max="6" width="14.5703125" style="1" customWidth="1"/>
    <col min="7" max="7" width="12" style="1" customWidth="1"/>
    <col min="8" max="8" width="15.5703125" style="1" customWidth="1"/>
    <col min="9" max="9" width="11.42578125" style="1" customWidth="1"/>
    <col min="10" max="10" width="15.28515625" style="1" customWidth="1"/>
    <col min="11" max="11" width="5.7109375" style="1" customWidth="1"/>
    <col min="12" max="12" width="12.5703125" style="1" customWidth="1"/>
    <col min="13" max="13" width="15.28515625" style="1" customWidth="1"/>
    <col min="14" max="14" width="14.5703125" style="1" customWidth="1"/>
    <col min="15" max="26" width="8.7109375" style="1" customWidth="1"/>
    <col min="27" max="16384" width="14.42578125" style="1"/>
  </cols>
  <sheetData>
    <row r="4" spans="1:26" ht="29.45" customHeight="1" x14ac:dyDescent="0.3">
      <c r="A4" s="2"/>
      <c r="B4" s="458" t="s">
        <v>248</v>
      </c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">
      <c r="A5" s="2"/>
      <c r="B5" s="459" t="s">
        <v>224</v>
      </c>
      <c r="C5" s="459"/>
      <c r="D5" s="3"/>
      <c r="E5" s="460" t="s">
        <v>335</v>
      </c>
      <c r="F5" s="460"/>
      <c r="G5" s="460"/>
      <c r="H5" s="460"/>
      <c r="I5" s="460"/>
      <c r="J5" s="460"/>
      <c r="K5" s="460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x14ac:dyDescent="0.3">
      <c r="A6" s="2"/>
      <c r="B6" s="2"/>
      <c r="C6" s="2"/>
      <c r="D6" s="2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9.5" customHeight="1" x14ac:dyDescent="0.3">
      <c r="A7" s="2"/>
      <c r="B7" s="470" t="s">
        <v>227</v>
      </c>
      <c r="C7" s="469" t="s">
        <v>228</v>
      </c>
      <c r="D7" s="469" t="s">
        <v>229</v>
      </c>
      <c r="E7" s="468" t="s">
        <v>230</v>
      </c>
      <c r="F7" s="468" t="s">
        <v>231</v>
      </c>
      <c r="G7" s="468" t="s">
        <v>232</v>
      </c>
      <c r="H7" s="468"/>
      <c r="I7" s="468"/>
      <c r="J7" s="468"/>
      <c r="K7" s="468" t="s">
        <v>9</v>
      </c>
      <c r="L7" s="468" t="s">
        <v>233</v>
      </c>
      <c r="M7" s="472" t="s">
        <v>234</v>
      </c>
      <c r="N7" s="464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9.75" customHeight="1" x14ac:dyDescent="0.3">
      <c r="A8" s="2"/>
      <c r="B8" s="471"/>
      <c r="C8" s="453"/>
      <c r="D8" s="453"/>
      <c r="E8" s="454"/>
      <c r="F8" s="454"/>
      <c r="G8" s="7" t="s">
        <v>235</v>
      </c>
      <c r="H8" s="6" t="s">
        <v>236</v>
      </c>
      <c r="I8" s="7" t="s">
        <v>235</v>
      </c>
      <c r="J8" s="6" t="s">
        <v>236</v>
      </c>
      <c r="K8" s="454"/>
      <c r="L8" s="454"/>
      <c r="M8" s="454"/>
      <c r="N8" s="46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x14ac:dyDescent="0.3">
      <c r="A9" s="2"/>
      <c r="B9" s="70">
        <v>1</v>
      </c>
      <c r="C9" s="71" t="s">
        <v>336</v>
      </c>
      <c r="D9" s="72"/>
      <c r="E9" s="73" t="s">
        <v>337</v>
      </c>
      <c r="F9" s="74" t="s">
        <v>338</v>
      </c>
      <c r="G9" s="75">
        <v>45291</v>
      </c>
      <c r="H9" s="76">
        <v>173.08</v>
      </c>
      <c r="I9" s="10">
        <v>45322</v>
      </c>
      <c r="J9" s="11">
        <v>219.81</v>
      </c>
      <c r="K9" s="78">
        <v>30</v>
      </c>
      <c r="L9" s="79">
        <f>J9-H9</f>
        <v>46.72999999999999</v>
      </c>
      <c r="M9" s="49">
        <v>6.3746283932780798</v>
      </c>
      <c r="N9" s="80">
        <f>M9*L9*K9</f>
        <v>8936.591544536539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x14ac:dyDescent="0.3">
      <c r="A10" s="2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55" t="s">
        <v>241</v>
      </c>
      <c r="N10" s="56">
        <f>SUM(N9)</f>
        <v>8936.591544536539</v>
      </c>
      <c r="O10" s="57" t="s">
        <v>242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4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.45" customHeight="1" x14ac:dyDescent="0.3">
      <c r="A13" s="2"/>
      <c r="B13" s="458" t="s">
        <v>339</v>
      </c>
      <c r="C13" s="458"/>
      <c r="D13" s="458"/>
      <c r="E13" s="458"/>
      <c r="F13" s="458"/>
      <c r="G13" s="458"/>
      <c r="H13" s="458"/>
      <c r="I13" s="458"/>
      <c r="J13" s="458"/>
      <c r="K13" s="458"/>
      <c r="L13" s="458"/>
      <c r="M13" s="458"/>
      <c r="N13" s="45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3">
      <c r="A14" s="2"/>
      <c r="B14" s="459" t="s">
        <v>224</v>
      </c>
      <c r="C14" s="459"/>
      <c r="D14" s="3"/>
      <c r="E14" s="460" t="s">
        <v>335</v>
      </c>
      <c r="F14" s="460"/>
      <c r="G14" s="460"/>
      <c r="H14" s="460"/>
      <c r="I14" s="460"/>
      <c r="J14" s="460"/>
      <c r="K14" s="460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x14ac:dyDescent="0.3">
      <c r="A15" s="2"/>
      <c r="B15" s="2"/>
      <c r="C15" s="2"/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9.5" customHeight="1" x14ac:dyDescent="0.3">
      <c r="A16" s="2"/>
      <c r="B16" s="470" t="s">
        <v>227</v>
      </c>
      <c r="C16" s="469" t="s">
        <v>228</v>
      </c>
      <c r="D16" s="469" t="s">
        <v>229</v>
      </c>
      <c r="E16" s="468" t="s">
        <v>230</v>
      </c>
      <c r="F16" s="468" t="s">
        <v>231</v>
      </c>
      <c r="G16" s="468" t="s">
        <v>232</v>
      </c>
      <c r="H16" s="468"/>
      <c r="I16" s="468"/>
      <c r="J16" s="468"/>
      <c r="K16" s="468" t="s">
        <v>9</v>
      </c>
      <c r="L16" s="468" t="s">
        <v>233</v>
      </c>
      <c r="M16" s="472" t="s">
        <v>234</v>
      </c>
      <c r="N16" s="464" t="s">
        <v>18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.75" customHeight="1" x14ac:dyDescent="0.3">
      <c r="A17" s="2"/>
      <c r="B17" s="471"/>
      <c r="C17" s="453"/>
      <c r="D17" s="453"/>
      <c r="E17" s="454"/>
      <c r="F17" s="454"/>
      <c r="G17" s="7" t="s">
        <v>235</v>
      </c>
      <c r="H17" s="6" t="s">
        <v>236</v>
      </c>
      <c r="I17" s="7" t="s">
        <v>235</v>
      </c>
      <c r="J17" s="6" t="s">
        <v>236</v>
      </c>
      <c r="K17" s="454"/>
      <c r="L17" s="454"/>
      <c r="M17" s="454"/>
      <c r="N17" s="46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x14ac:dyDescent="0.3">
      <c r="A18" s="2"/>
      <c r="B18" s="70">
        <v>1</v>
      </c>
      <c r="C18" s="71" t="s">
        <v>336</v>
      </c>
      <c r="D18" s="72"/>
      <c r="E18" s="73" t="s">
        <v>337</v>
      </c>
      <c r="F18" s="74" t="s">
        <v>338</v>
      </c>
      <c r="G18" s="75">
        <v>45291</v>
      </c>
      <c r="H18" s="76">
        <v>219.81</v>
      </c>
      <c r="I18" s="10">
        <v>45322</v>
      </c>
      <c r="J18" s="11">
        <v>270.60000000000002</v>
      </c>
      <c r="K18" s="78">
        <v>30</v>
      </c>
      <c r="L18" s="79">
        <f>J18-H18</f>
        <v>50.79000000000002</v>
      </c>
      <c r="M18" s="49">
        <v>6.0268800000000002</v>
      </c>
      <c r="N18" s="80">
        <f>M18*L18*K18</f>
        <v>9183.1570560000036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x14ac:dyDescent="0.3">
      <c r="A19" s="2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55" t="s">
        <v>241</v>
      </c>
      <c r="N19" s="56">
        <f>SUM(N18)</f>
        <v>9183.1570560000036</v>
      </c>
      <c r="O19" s="57" t="s">
        <v>242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x14ac:dyDescent="0.3">
      <c r="A20" s="2"/>
      <c r="B20" s="458" t="s">
        <v>340</v>
      </c>
      <c r="C20" s="458"/>
      <c r="D20" s="458"/>
      <c r="E20" s="458"/>
      <c r="F20" s="458"/>
      <c r="G20" s="458"/>
      <c r="H20" s="458"/>
      <c r="I20" s="458"/>
      <c r="J20" s="458"/>
      <c r="K20" s="458"/>
      <c r="L20" s="458"/>
      <c r="M20" s="458"/>
      <c r="N20" s="45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9.45" customHeight="1" x14ac:dyDescent="0.3">
      <c r="A21" s="2"/>
      <c r="B21" s="459" t="s">
        <v>224</v>
      </c>
      <c r="C21" s="459"/>
      <c r="D21" s="3"/>
      <c r="E21" s="460" t="s">
        <v>335</v>
      </c>
      <c r="F21" s="460"/>
      <c r="G21" s="460"/>
      <c r="H21" s="460"/>
      <c r="I21" s="460"/>
      <c r="J21" s="460"/>
      <c r="K21" s="460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9.45" customHeight="1" x14ac:dyDescent="0.3">
      <c r="A22" s="2"/>
      <c r="B22" s="2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9.45" customHeight="1" x14ac:dyDescent="0.3">
      <c r="A23" s="2"/>
      <c r="B23" s="470" t="s">
        <v>227</v>
      </c>
      <c r="C23" s="469" t="s">
        <v>228</v>
      </c>
      <c r="D23" s="469" t="s">
        <v>229</v>
      </c>
      <c r="E23" s="468" t="s">
        <v>230</v>
      </c>
      <c r="F23" s="468" t="s">
        <v>231</v>
      </c>
      <c r="G23" s="468" t="s">
        <v>232</v>
      </c>
      <c r="H23" s="468"/>
      <c r="I23" s="468"/>
      <c r="J23" s="468"/>
      <c r="K23" s="468" t="s">
        <v>9</v>
      </c>
      <c r="L23" s="468" t="s">
        <v>233</v>
      </c>
      <c r="M23" s="472" t="s">
        <v>234</v>
      </c>
      <c r="N23" s="464" t="s">
        <v>18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9.45" customHeight="1" x14ac:dyDescent="0.3">
      <c r="A24" s="2"/>
      <c r="B24" s="471"/>
      <c r="C24" s="453"/>
      <c r="D24" s="453"/>
      <c r="E24" s="454"/>
      <c r="F24" s="454"/>
      <c r="G24" s="7" t="s">
        <v>235</v>
      </c>
      <c r="H24" s="6" t="s">
        <v>236</v>
      </c>
      <c r="I24" s="7" t="s">
        <v>235</v>
      </c>
      <c r="J24" s="6" t="s">
        <v>236</v>
      </c>
      <c r="K24" s="454"/>
      <c r="L24" s="454"/>
      <c r="M24" s="454"/>
      <c r="N24" s="46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9.45" customHeight="1" x14ac:dyDescent="0.3">
      <c r="A25" s="2"/>
      <c r="B25" s="70">
        <v>1</v>
      </c>
      <c r="C25" s="71" t="s">
        <v>336</v>
      </c>
      <c r="D25" s="72"/>
      <c r="E25" s="73" t="s">
        <v>337</v>
      </c>
      <c r="F25" s="74" t="s">
        <v>338</v>
      </c>
      <c r="G25" s="75">
        <v>45322</v>
      </c>
      <c r="H25" s="76">
        <v>270.60000000000002</v>
      </c>
      <c r="I25" s="10" t="s">
        <v>341</v>
      </c>
      <c r="J25" s="11">
        <v>310.52999999999997</v>
      </c>
      <c r="K25" s="78">
        <v>30</v>
      </c>
      <c r="L25" s="79">
        <f>J25-H25</f>
        <v>39.92999999999995</v>
      </c>
      <c r="M25" s="49">
        <v>5.4806882375333101</v>
      </c>
      <c r="N25" s="80">
        <f>M25*L25*K25</f>
        <v>6565.3164397411438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9.45" customHeight="1" x14ac:dyDescent="0.3">
      <c r="A26" s="2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55" t="s">
        <v>241</v>
      </c>
      <c r="N26" s="56">
        <f>SUM(N25)</f>
        <v>6565.3164397411438</v>
      </c>
      <c r="O26" s="57" t="s">
        <v>242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9.45" customHeight="1" x14ac:dyDescent="0.3">
      <c r="A27" s="2"/>
      <c r="B27" s="458" t="s">
        <v>342</v>
      </c>
      <c r="C27" s="458"/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8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9.45" customHeight="1" x14ac:dyDescent="0.3">
      <c r="A28" s="2"/>
      <c r="B28" s="459" t="s">
        <v>224</v>
      </c>
      <c r="C28" s="459"/>
      <c r="D28" s="3"/>
      <c r="E28" s="460" t="s">
        <v>335</v>
      </c>
      <c r="F28" s="460"/>
      <c r="G28" s="460"/>
      <c r="H28" s="460"/>
      <c r="I28" s="460"/>
      <c r="J28" s="460"/>
      <c r="K28" s="460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9.45" customHeight="1" x14ac:dyDescent="0.3">
      <c r="A29" s="2"/>
      <c r="B29" s="2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9.45" customHeight="1" x14ac:dyDescent="0.3">
      <c r="A30" s="2"/>
      <c r="B30" s="470" t="s">
        <v>227</v>
      </c>
      <c r="C30" s="469" t="s">
        <v>228</v>
      </c>
      <c r="D30" s="469" t="s">
        <v>229</v>
      </c>
      <c r="E30" s="468" t="s">
        <v>230</v>
      </c>
      <c r="F30" s="468" t="s">
        <v>231</v>
      </c>
      <c r="G30" s="468" t="s">
        <v>232</v>
      </c>
      <c r="H30" s="468"/>
      <c r="I30" s="468"/>
      <c r="J30" s="468"/>
      <c r="K30" s="468" t="s">
        <v>9</v>
      </c>
      <c r="L30" s="468" t="s">
        <v>233</v>
      </c>
      <c r="M30" s="472" t="s">
        <v>234</v>
      </c>
      <c r="N30" s="464" t="s">
        <v>18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9.45" customHeight="1" x14ac:dyDescent="0.3">
      <c r="A31" s="2"/>
      <c r="B31" s="471"/>
      <c r="C31" s="453"/>
      <c r="D31" s="453"/>
      <c r="E31" s="454"/>
      <c r="F31" s="454"/>
      <c r="G31" s="7" t="s">
        <v>235</v>
      </c>
      <c r="H31" s="6" t="s">
        <v>236</v>
      </c>
      <c r="I31" s="7" t="s">
        <v>235</v>
      </c>
      <c r="J31" s="6" t="s">
        <v>236</v>
      </c>
      <c r="K31" s="454"/>
      <c r="L31" s="454"/>
      <c r="M31" s="454"/>
      <c r="N31" s="46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9.45" customHeight="1" x14ac:dyDescent="0.3">
      <c r="A32" s="2"/>
      <c r="B32" s="70">
        <v>1</v>
      </c>
      <c r="C32" s="71" t="s">
        <v>336</v>
      </c>
      <c r="D32" s="72"/>
      <c r="E32" s="73" t="s">
        <v>337</v>
      </c>
      <c r="F32" s="74" t="s">
        <v>338</v>
      </c>
      <c r="G32" s="75" t="s">
        <v>341</v>
      </c>
      <c r="H32" s="76">
        <v>310.52999999999997</v>
      </c>
      <c r="I32" s="10">
        <v>45381</v>
      </c>
      <c r="J32" s="11">
        <v>346.33</v>
      </c>
      <c r="K32" s="78">
        <v>30</v>
      </c>
      <c r="L32" s="79">
        <f>J32-H32</f>
        <v>35.800000000000011</v>
      </c>
      <c r="M32" s="49">
        <v>5.0140000000000002</v>
      </c>
      <c r="N32" s="80">
        <f>M32*L32*K32</f>
        <v>5385.0360000000019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9.45" customHeight="1" x14ac:dyDescent="0.3">
      <c r="A33" s="2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55" t="s">
        <v>241</v>
      </c>
      <c r="N33" s="56">
        <f>SUM(N32)</f>
        <v>5385.0360000000019</v>
      </c>
      <c r="O33" s="57" t="s">
        <v>242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9.45" customHeight="1" x14ac:dyDescent="0.3">
      <c r="A34" s="2"/>
      <c r="B34" s="473" t="s">
        <v>343</v>
      </c>
      <c r="C34" s="473"/>
      <c r="D34" s="473"/>
      <c r="E34" s="473"/>
      <c r="F34" s="473"/>
      <c r="G34" s="473"/>
      <c r="H34" s="473"/>
      <c r="I34" s="473"/>
      <c r="J34" s="473"/>
      <c r="K34" s="473"/>
      <c r="L34" s="473"/>
      <c r="M34" s="473"/>
      <c r="N34" s="473"/>
      <c r="O34" s="1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9.45" customHeight="1" x14ac:dyDescent="0.3">
      <c r="A35" s="2"/>
      <c r="B35" s="459" t="s">
        <v>224</v>
      </c>
      <c r="C35" s="459"/>
      <c r="D35" s="3"/>
      <c r="E35" s="460" t="s">
        <v>335</v>
      </c>
      <c r="F35" s="460"/>
      <c r="G35" s="460"/>
      <c r="H35" s="460"/>
      <c r="I35" s="460"/>
      <c r="J35" s="460"/>
      <c r="K35" s="460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9.45" customHeight="1" x14ac:dyDescent="0.3">
      <c r="A36" s="2"/>
      <c r="B36" s="2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9.45" customHeight="1" x14ac:dyDescent="0.3">
      <c r="A37" s="2"/>
      <c r="B37" s="470" t="s">
        <v>227</v>
      </c>
      <c r="C37" s="469" t="s">
        <v>228</v>
      </c>
      <c r="D37" s="469" t="s">
        <v>229</v>
      </c>
      <c r="E37" s="468" t="s">
        <v>230</v>
      </c>
      <c r="F37" s="468" t="s">
        <v>231</v>
      </c>
      <c r="G37" s="468" t="s">
        <v>232</v>
      </c>
      <c r="H37" s="468"/>
      <c r="I37" s="468"/>
      <c r="J37" s="468"/>
      <c r="K37" s="468" t="s">
        <v>9</v>
      </c>
      <c r="L37" s="468" t="s">
        <v>233</v>
      </c>
      <c r="M37" s="472" t="s">
        <v>234</v>
      </c>
      <c r="N37" s="464" t="s">
        <v>18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9.45" customHeight="1" x14ac:dyDescent="0.3">
      <c r="A38" s="2"/>
      <c r="B38" s="471"/>
      <c r="C38" s="453"/>
      <c r="D38" s="453"/>
      <c r="E38" s="454"/>
      <c r="F38" s="454"/>
      <c r="G38" s="7" t="s">
        <v>235</v>
      </c>
      <c r="H38" s="6" t="s">
        <v>236</v>
      </c>
      <c r="I38" s="7" t="s">
        <v>235</v>
      </c>
      <c r="J38" s="6" t="s">
        <v>236</v>
      </c>
      <c r="K38" s="454"/>
      <c r="L38" s="454"/>
      <c r="M38" s="454"/>
      <c r="N38" s="46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9.45" customHeight="1" x14ac:dyDescent="0.3">
      <c r="A39" s="2"/>
      <c r="B39" s="70">
        <v>1</v>
      </c>
      <c r="C39" s="71" t="s">
        <v>336</v>
      </c>
      <c r="D39" s="72"/>
      <c r="E39" s="73" t="s">
        <v>337</v>
      </c>
      <c r="F39" s="74" t="s">
        <v>338</v>
      </c>
      <c r="G39" s="75">
        <v>45382</v>
      </c>
      <c r="H39" s="76">
        <v>346.33</v>
      </c>
      <c r="I39" s="10" t="s">
        <v>344</v>
      </c>
      <c r="J39" s="11">
        <v>354.45</v>
      </c>
      <c r="K39" s="78">
        <v>30</v>
      </c>
      <c r="L39" s="79">
        <f>J39-H39</f>
        <v>8.1200000000000045</v>
      </c>
      <c r="M39" s="49">
        <v>5.5512119826756496</v>
      </c>
      <c r="N39" s="80">
        <f>M39*L39*K39</f>
        <v>1352.275238979789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9.45" customHeight="1" x14ac:dyDescent="0.3">
      <c r="A40" s="2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55" t="s">
        <v>241</v>
      </c>
      <c r="N40" s="56">
        <f>SUM(N39)</f>
        <v>1352.275238979789</v>
      </c>
      <c r="O40" s="57" t="s">
        <v>242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9.4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9.45" customHeight="1" x14ac:dyDescent="0.3">
      <c r="A42" s="2"/>
      <c r="B42" s="458" t="s">
        <v>345</v>
      </c>
      <c r="C42" s="458"/>
      <c r="D42" s="458"/>
      <c r="E42" s="458"/>
      <c r="F42" s="458"/>
      <c r="G42" s="458"/>
      <c r="H42" s="458"/>
      <c r="I42" s="458"/>
      <c r="J42" s="458"/>
      <c r="K42" s="458"/>
      <c r="L42" s="458"/>
      <c r="M42" s="458"/>
      <c r="N42" s="458"/>
      <c r="O42" s="8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9.45" customHeight="1" x14ac:dyDescent="0.3">
      <c r="A43" s="2"/>
      <c r="B43" s="459" t="s">
        <v>224</v>
      </c>
      <c r="C43" s="459"/>
      <c r="D43" s="3"/>
      <c r="E43" s="460" t="s">
        <v>335</v>
      </c>
      <c r="F43" s="460"/>
      <c r="G43" s="460"/>
      <c r="H43" s="460"/>
      <c r="I43" s="460"/>
      <c r="J43" s="460"/>
      <c r="K43" s="460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9.45" customHeight="1" x14ac:dyDescent="0.3">
      <c r="A44" s="2"/>
      <c r="B44" s="2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9.45" customHeight="1" x14ac:dyDescent="0.3">
      <c r="A45" s="2"/>
      <c r="B45" s="470" t="s">
        <v>227</v>
      </c>
      <c r="C45" s="469" t="s">
        <v>228</v>
      </c>
      <c r="D45" s="469" t="s">
        <v>229</v>
      </c>
      <c r="E45" s="468" t="s">
        <v>230</v>
      </c>
      <c r="F45" s="468" t="s">
        <v>231</v>
      </c>
      <c r="G45" s="468" t="s">
        <v>232</v>
      </c>
      <c r="H45" s="468"/>
      <c r="I45" s="468"/>
      <c r="J45" s="468"/>
      <c r="K45" s="468" t="s">
        <v>9</v>
      </c>
      <c r="L45" s="468" t="s">
        <v>233</v>
      </c>
      <c r="M45" s="472" t="s">
        <v>234</v>
      </c>
      <c r="N45" s="464" t="s">
        <v>18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9.45" customHeight="1" x14ac:dyDescent="0.3">
      <c r="A46" s="2"/>
      <c r="B46" s="471"/>
      <c r="C46" s="453"/>
      <c r="D46" s="453"/>
      <c r="E46" s="454"/>
      <c r="F46" s="454"/>
      <c r="G46" s="7" t="s">
        <v>235</v>
      </c>
      <c r="H46" s="6" t="s">
        <v>236</v>
      </c>
      <c r="I46" s="7" t="s">
        <v>235</v>
      </c>
      <c r="J46" s="6" t="s">
        <v>236</v>
      </c>
      <c r="K46" s="454"/>
      <c r="L46" s="454"/>
      <c r="M46" s="454"/>
      <c r="N46" s="4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9.45" customHeight="1" x14ac:dyDescent="0.3">
      <c r="A47" s="2"/>
      <c r="B47" s="70">
        <v>1</v>
      </c>
      <c r="C47" s="71" t="s">
        <v>336</v>
      </c>
      <c r="D47" s="72"/>
      <c r="E47" s="73" t="s">
        <v>337</v>
      </c>
      <c r="F47" s="74" t="s">
        <v>338</v>
      </c>
      <c r="G47" s="75" t="s">
        <v>344</v>
      </c>
      <c r="H47" s="76">
        <v>354.45</v>
      </c>
      <c r="I47" s="10">
        <v>45442</v>
      </c>
      <c r="J47" s="11">
        <v>361.46</v>
      </c>
      <c r="K47" s="78">
        <v>30</v>
      </c>
      <c r="L47" s="79">
        <f>J47-H47</f>
        <v>7.0099999999999909</v>
      </c>
      <c r="M47" s="49">
        <v>6.5632798740304397</v>
      </c>
      <c r="N47" s="80">
        <f>M47*L47*K47</f>
        <v>1380.2577575085998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9.45" customHeight="1" x14ac:dyDescent="0.3">
      <c r="A48" s="2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55" t="s">
        <v>241</v>
      </c>
      <c r="N48" s="56">
        <f>SUM(N47)</f>
        <v>1380.2577575085998</v>
      </c>
      <c r="O48" s="57" t="s">
        <v>242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9.45" customHeight="1" x14ac:dyDescent="0.3">
      <c r="A49" s="2"/>
      <c r="B49" s="458" t="s">
        <v>346</v>
      </c>
      <c r="C49" s="458"/>
      <c r="D49" s="458"/>
      <c r="E49" s="458"/>
      <c r="F49" s="458"/>
      <c r="G49" s="458"/>
      <c r="H49" s="458"/>
      <c r="I49" s="458"/>
      <c r="J49" s="458"/>
      <c r="K49" s="458"/>
      <c r="L49" s="458"/>
      <c r="M49" s="458"/>
      <c r="N49" s="458"/>
      <c r="O49" s="8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9.45" customHeight="1" x14ac:dyDescent="0.3">
      <c r="A50" s="2"/>
      <c r="B50" s="459" t="s">
        <v>224</v>
      </c>
      <c r="C50" s="459"/>
      <c r="D50" s="3"/>
      <c r="E50" s="460" t="s">
        <v>335</v>
      </c>
      <c r="F50" s="460"/>
      <c r="G50" s="460"/>
      <c r="H50" s="460"/>
      <c r="I50" s="460"/>
      <c r="J50" s="460"/>
      <c r="K50" s="460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9.45" customHeight="1" x14ac:dyDescent="0.3">
      <c r="A51" s="2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9.45" customHeight="1" x14ac:dyDescent="0.3">
      <c r="A52" s="2"/>
      <c r="B52" s="470" t="s">
        <v>227</v>
      </c>
      <c r="C52" s="469" t="s">
        <v>228</v>
      </c>
      <c r="D52" s="469" t="s">
        <v>229</v>
      </c>
      <c r="E52" s="468" t="s">
        <v>230</v>
      </c>
      <c r="F52" s="468" t="s">
        <v>231</v>
      </c>
      <c r="G52" s="468" t="s">
        <v>232</v>
      </c>
      <c r="H52" s="468"/>
      <c r="I52" s="468"/>
      <c r="J52" s="468"/>
      <c r="K52" s="468" t="s">
        <v>9</v>
      </c>
      <c r="L52" s="468" t="s">
        <v>233</v>
      </c>
      <c r="M52" s="472" t="s">
        <v>234</v>
      </c>
      <c r="N52" s="464" t="s">
        <v>18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9.45" customHeight="1" x14ac:dyDescent="0.3">
      <c r="A53" s="2"/>
      <c r="B53" s="471"/>
      <c r="C53" s="453"/>
      <c r="D53" s="453"/>
      <c r="E53" s="454"/>
      <c r="F53" s="454"/>
      <c r="G53" s="7" t="s">
        <v>235</v>
      </c>
      <c r="H53" s="6" t="s">
        <v>236</v>
      </c>
      <c r="I53" s="7" t="s">
        <v>235</v>
      </c>
      <c r="J53" s="6" t="s">
        <v>236</v>
      </c>
      <c r="K53" s="454"/>
      <c r="L53" s="454"/>
      <c r="M53" s="454"/>
      <c r="N53" s="46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9.45" customHeight="1" x14ac:dyDescent="0.3">
      <c r="A54" s="2"/>
      <c r="B54" s="70">
        <v>1</v>
      </c>
      <c r="C54" s="71" t="s">
        <v>336</v>
      </c>
      <c r="D54" s="72"/>
      <c r="E54" s="73" t="s">
        <v>337</v>
      </c>
      <c r="F54" s="74" t="s">
        <v>338</v>
      </c>
      <c r="G54" s="75">
        <v>45442</v>
      </c>
      <c r="H54" s="76">
        <v>361.46</v>
      </c>
      <c r="I54" s="10">
        <v>45473</v>
      </c>
      <c r="J54" s="11">
        <v>371.75</v>
      </c>
      <c r="K54" s="78">
        <v>30</v>
      </c>
      <c r="L54" s="79">
        <f>J54-H54</f>
        <v>10.29000000000002</v>
      </c>
      <c r="M54" s="49">
        <v>7.5064679646819101</v>
      </c>
      <c r="N54" s="80">
        <f>M54*L54*K54</f>
        <v>2317.2466606973103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9.45" customHeight="1" x14ac:dyDescent="0.3">
      <c r="A55" s="2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55" t="s">
        <v>241</v>
      </c>
      <c r="N55" s="56">
        <f>SUM(N54)</f>
        <v>2317.2466606973103</v>
      </c>
      <c r="O55" s="57" t="s">
        <v>242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9.45" customHeight="1" x14ac:dyDescent="0.3">
      <c r="A56" s="2"/>
      <c r="B56" s="458" t="s">
        <v>347</v>
      </c>
      <c r="C56" s="458"/>
      <c r="D56" s="458"/>
      <c r="E56" s="458"/>
      <c r="F56" s="458"/>
      <c r="G56" s="458"/>
      <c r="H56" s="458"/>
      <c r="I56" s="458"/>
      <c r="J56" s="458"/>
      <c r="K56" s="458"/>
      <c r="L56" s="458"/>
      <c r="M56" s="458"/>
      <c r="N56" s="45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9.45" customHeight="1" x14ac:dyDescent="0.3">
      <c r="A57" s="2"/>
      <c r="B57" s="459" t="s">
        <v>224</v>
      </c>
      <c r="C57" s="459"/>
      <c r="D57" s="3"/>
      <c r="E57" s="460" t="s">
        <v>335</v>
      </c>
      <c r="F57" s="460"/>
      <c r="G57" s="460"/>
      <c r="H57" s="460"/>
      <c r="I57" s="460"/>
      <c r="J57" s="460"/>
      <c r="K57" s="460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9.45" customHeight="1" x14ac:dyDescent="0.3">
      <c r="A58" s="2"/>
      <c r="B58" s="2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9.45" customHeight="1" x14ac:dyDescent="0.3">
      <c r="A59" s="2"/>
      <c r="B59" s="470" t="s">
        <v>227</v>
      </c>
      <c r="C59" s="469" t="s">
        <v>228</v>
      </c>
      <c r="D59" s="469" t="s">
        <v>229</v>
      </c>
      <c r="E59" s="468" t="s">
        <v>230</v>
      </c>
      <c r="F59" s="468" t="s">
        <v>231</v>
      </c>
      <c r="G59" s="468" t="s">
        <v>232</v>
      </c>
      <c r="H59" s="468"/>
      <c r="I59" s="468"/>
      <c r="J59" s="468"/>
      <c r="K59" s="468" t="s">
        <v>9</v>
      </c>
      <c r="L59" s="468" t="s">
        <v>233</v>
      </c>
      <c r="M59" s="472" t="s">
        <v>234</v>
      </c>
      <c r="N59" s="464" t="s">
        <v>18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9.45" customHeight="1" x14ac:dyDescent="0.3">
      <c r="A60" s="2"/>
      <c r="B60" s="471"/>
      <c r="C60" s="453"/>
      <c r="D60" s="453"/>
      <c r="E60" s="454"/>
      <c r="F60" s="454"/>
      <c r="G60" s="7" t="s">
        <v>235</v>
      </c>
      <c r="H60" s="6" t="s">
        <v>236</v>
      </c>
      <c r="I60" s="7" t="s">
        <v>235</v>
      </c>
      <c r="J60" s="6" t="s">
        <v>236</v>
      </c>
      <c r="K60" s="454"/>
      <c r="L60" s="454"/>
      <c r="M60" s="454"/>
      <c r="N60" s="46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9.45" customHeight="1" x14ac:dyDescent="0.3">
      <c r="A61" s="2"/>
      <c r="B61" s="70">
        <v>1</v>
      </c>
      <c r="C61" s="71" t="s">
        <v>336</v>
      </c>
      <c r="D61" s="72"/>
      <c r="E61" s="73" t="s">
        <v>337</v>
      </c>
      <c r="F61" s="74" t="s">
        <v>338</v>
      </c>
      <c r="G61" s="75">
        <v>45473</v>
      </c>
      <c r="H61" s="76">
        <v>371.75</v>
      </c>
      <c r="I61" s="10">
        <v>45503</v>
      </c>
      <c r="J61" s="11">
        <v>389.85</v>
      </c>
      <c r="K61" s="78">
        <v>30</v>
      </c>
      <c r="L61" s="79">
        <f>(J61-H61)*K61</f>
        <v>543.00000000000068</v>
      </c>
      <c r="M61" s="49">
        <v>7.9506961168507297</v>
      </c>
      <c r="N61" s="80">
        <f>M61*L61*K61</f>
        <v>129516.83974349854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9.45" customHeight="1" x14ac:dyDescent="0.3">
      <c r="A62" s="2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55" t="s">
        <v>241</v>
      </c>
      <c r="N62" s="56">
        <f>SUM(N61)</f>
        <v>129516.83974349854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9.4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9.45" customHeight="1" x14ac:dyDescent="0.3">
      <c r="A64" s="2"/>
      <c r="B64" s="458" t="s">
        <v>347</v>
      </c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9.45" customHeight="1" x14ac:dyDescent="0.3">
      <c r="A65" s="2"/>
      <c r="B65" s="459" t="s">
        <v>224</v>
      </c>
      <c r="C65" s="459"/>
      <c r="D65" s="3"/>
      <c r="E65" s="460" t="s">
        <v>335</v>
      </c>
      <c r="F65" s="460"/>
      <c r="G65" s="460"/>
      <c r="H65" s="460"/>
      <c r="I65" s="460"/>
      <c r="J65" s="460"/>
      <c r="K65" s="460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9.45" customHeight="1" x14ac:dyDescent="0.3">
      <c r="A66" s="2"/>
      <c r="B66" s="2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9.45" customHeight="1" x14ac:dyDescent="0.3">
      <c r="A67" s="2"/>
      <c r="B67" s="470" t="s">
        <v>227</v>
      </c>
      <c r="C67" s="469" t="s">
        <v>228</v>
      </c>
      <c r="D67" s="469" t="s">
        <v>229</v>
      </c>
      <c r="E67" s="468" t="s">
        <v>230</v>
      </c>
      <c r="F67" s="468" t="s">
        <v>231</v>
      </c>
      <c r="G67" s="468" t="s">
        <v>232</v>
      </c>
      <c r="H67" s="468"/>
      <c r="I67" s="468"/>
      <c r="J67" s="468"/>
      <c r="K67" s="468" t="s">
        <v>9</v>
      </c>
      <c r="L67" s="468" t="s">
        <v>233</v>
      </c>
      <c r="M67" s="472" t="s">
        <v>234</v>
      </c>
      <c r="N67" s="464" t="s">
        <v>18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9.45" customHeight="1" x14ac:dyDescent="0.3">
      <c r="A68" s="2"/>
      <c r="B68" s="471"/>
      <c r="C68" s="453"/>
      <c r="D68" s="453"/>
      <c r="E68" s="454"/>
      <c r="F68" s="454"/>
      <c r="G68" s="7" t="s">
        <v>235</v>
      </c>
      <c r="H68" s="6" t="s">
        <v>236</v>
      </c>
      <c r="I68" s="7" t="s">
        <v>235</v>
      </c>
      <c r="J68" s="6" t="s">
        <v>236</v>
      </c>
      <c r="K68" s="454"/>
      <c r="L68" s="454"/>
      <c r="M68" s="454"/>
      <c r="N68" s="46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9.45" customHeight="1" x14ac:dyDescent="0.3">
      <c r="A69" s="2"/>
      <c r="B69" s="70">
        <v>1</v>
      </c>
      <c r="C69" s="71" t="s">
        <v>336</v>
      </c>
      <c r="D69" s="72"/>
      <c r="E69" s="73" t="s">
        <v>337</v>
      </c>
      <c r="F69" s="74" t="s">
        <v>338</v>
      </c>
      <c r="G69" s="10">
        <v>45503</v>
      </c>
      <c r="H69" s="11">
        <v>389.85</v>
      </c>
      <c r="I69" s="10">
        <v>45534</v>
      </c>
      <c r="J69" s="11">
        <v>407.76</v>
      </c>
      <c r="K69" s="78">
        <v>30</v>
      </c>
      <c r="L69" s="79">
        <f>(J69-H69)*K69</f>
        <v>537.29999999999905</v>
      </c>
      <c r="M69" s="49">
        <v>8.0084759999999999</v>
      </c>
      <c r="N69" s="80">
        <f>M69*L69*K69</f>
        <v>129088.62464399978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9.45" customHeight="1" x14ac:dyDescent="0.3">
      <c r="A70" s="2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55" t="s">
        <v>241</v>
      </c>
      <c r="N70" s="56">
        <f>SUM(N69)</f>
        <v>129088.62464399978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9.4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9.45" customHeight="1" x14ac:dyDescent="0.3">
      <c r="A72" s="2"/>
      <c r="B72" s="458" t="s">
        <v>348</v>
      </c>
      <c r="C72" s="458"/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9.45" customHeight="1" x14ac:dyDescent="0.3">
      <c r="A73" s="2"/>
      <c r="B73" s="459" t="s">
        <v>224</v>
      </c>
      <c r="C73" s="459"/>
      <c r="D73" s="3"/>
      <c r="E73" s="460" t="s">
        <v>335</v>
      </c>
      <c r="F73" s="460"/>
      <c r="G73" s="460"/>
      <c r="H73" s="460"/>
      <c r="I73" s="460"/>
      <c r="J73" s="460"/>
      <c r="K73" s="460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9.45" customHeight="1" x14ac:dyDescent="0.3">
      <c r="A74" s="2"/>
      <c r="B74" s="2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9.45" customHeight="1" x14ac:dyDescent="0.3">
      <c r="A75" s="2"/>
      <c r="B75" s="470" t="s">
        <v>227</v>
      </c>
      <c r="C75" s="469" t="s">
        <v>228</v>
      </c>
      <c r="D75" s="469" t="s">
        <v>229</v>
      </c>
      <c r="E75" s="468" t="s">
        <v>230</v>
      </c>
      <c r="F75" s="468" t="s">
        <v>231</v>
      </c>
      <c r="G75" s="468" t="s">
        <v>232</v>
      </c>
      <c r="H75" s="468"/>
      <c r="I75" s="468"/>
      <c r="J75" s="468"/>
      <c r="K75" s="468" t="s">
        <v>9</v>
      </c>
      <c r="L75" s="468" t="s">
        <v>233</v>
      </c>
      <c r="M75" s="472" t="s">
        <v>234</v>
      </c>
      <c r="N75" s="464" t="s">
        <v>18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9.45" customHeight="1" x14ac:dyDescent="0.3">
      <c r="A76" s="2"/>
      <c r="B76" s="471"/>
      <c r="C76" s="453"/>
      <c r="D76" s="453"/>
      <c r="E76" s="454"/>
      <c r="F76" s="454"/>
      <c r="G76" s="7" t="s">
        <v>235</v>
      </c>
      <c r="H76" s="6" t="s">
        <v>236</v>
      </c>
      <c r="I76" s="7" t="s">
        <v>235</v>
      </c>
      <c r="J76" s="6" t="s">
        <v>236</v>
      </c>
      <c r="K76" s="454"/>
      <c r="L76" s="454"/>
      <c r="M76" s="454"/>
      <c r="N76" s="46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9.45" customHeight="1" x14ac:dyDescent="0.3">
      <c r="A77" s="2"/>
      <c r="B77" s="70">
        <v>1</v>
      </c>
      <c r="C77" s="71" t="s">
        <v>336</v>
      </c>
      <c r="D77" s="72"/>
      <c r="E77" s="73" t="s">
        <v>337</v>
      </c>
      <c r="F77" s="74" t="s">
        <v>338</v>
      </c>
      <c r="G77" s="10">
        <v>45503</v>
      </c>
      <c r="H77" s="11">
        <v>389.85</v>
      </c>
      <c r="I77" s="10">
        <v>45534</v>
      </c>
      <c r="J77" s="11">
        <v>407.76</v>
      </c>
      <c r="K77" s="78">
        <v>30</v>
      </c>
      <c r="L77" s="79">
        <f>(J77-H77)*K77</f>
        <v>537.29999999999905</v>
      </c>
      <c r="M77" s="49">
        <v>8.0084759999999999</v>
      </c>
      <c r="N77" s="80">
        <f>M77*L77</f>
        <v>4302.9541547999925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9.45" customHeight="1" x14ac:dyDescent="0.3">
      <c r="A78" s="2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55" t="s">
        <v>241</v>
      </c>
      <c r="N78" s="56">
        <f>SUM(N77)</f>
        <v>4302.9541547999925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9.4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9.45" customHeight="1" x14ac:dyDescent="0.3">
      <c r="A80" s="2"/>
      <c r="B80" s="458" t="s">
        <v>349</v>
      </c>
      <c r="C80" s="458"/>
      <c r="D80" s="458"/>
      <c r="E80" s="458"/>
      <c r="F80" s="458"/>
      <c r="G80" s="458"/>
      <c r="H80" s="458"/>
      <c r="I80" s="458"/>
      <c r="J80" s="458"/>
      <c r="K80" s="458"/>
      <c r="L80" s="458"/>
      <c r="M80" s="458"/>
      <c r="N80" s="45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9.45" customHeight="1" x14ac:dyDescent="0.3">
      <c r="A81" s="2"/>
      <c r="B81" s="459" t="s">
        <v>224</v>
      </c>
      <c r="C81" s="459"/>
      <c r="D81" s="3"/>
      <c r="E81" s="460" t="s">
        <v>335</v>
      </c>
      <c r="F81" s="460"/>
      <c r="G81" s="460"/>
      <c r="H81" s="460"/>
      <c r="I81" s="460"/>
      <c r="J81" s="460"/>
      <c r="K81" s="460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9.45" customHeight="1" x14ac:dyDescent="0.3">
      <c r="A82" s="2"/>
      <c r="B82" s="2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9.45" customHeight="1" x14ac:dyDescent="0.3">
      <c r="A83" s="2"/>
      <c r="B83" s="470" t="s">
        <v>227</v>
      </c>
      <c r="C83" s="469" t="s">
        <v>228</v>
      </c>
      <c r="D83" s="469" t="s">
        <v>229</v>
      </c>
      <c r="E83" s="468" t="s">
        <v>230</v>
      </c>
      <c r="F83" s="468" t="s">
        <v>231</v>
      </c>
      <c r="G83" s="468" t="s">
        <v>232</v>
      </c>
      <c r="H83" s="468"/>
      <c r="I83" s="468"/>
      <c r="J83" s="468"/>
      <c r="K83" s="468" t="s">
        <v>9</v>
      </c>
      <c r="L83" s="468" t="s">
        <v>233</v>
      </c>
      <c r="M83" s="472" t="s">
        <v>234</v>
      </c>
      <c r="N83" s="464" t="s">
        <v>18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9.45" customHeight="1" x14ac:dyDescent="0.3">
      <c r="A84" s="2"/>
      <c r="B84" s="471"/>
      <c r="C84" s="453"/>
      <c r="D84" s="453"/>
      <c r="E84" s="454"/>
      <c r="F84" s="454"/>
      <c r="G84" s="7" t="s">
        <v>235</v>
      </c>
      <c r="H84" s="6" t="s">
        <v>236</v>
      </c>
      <c r="I84" s="7" t="s">
        <v>235</v>
      </c>
      <c r="J84" s="6" t="s">
        <v>236</v>
      </c>
      <c r="K84" s="454"/>
      <c r="L84" s="454"/>
      <c r="M84" s="454"/>
      <c r="N84" s="46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9.45" customHeight="1" x14ac:dyDescent="0.3">
      <c r="A85" s="2"/>
      <c r="B85" s="70">
        <v>1</v>
      </c>
      <c r="C85" s="71" t="s">
        <v>336</v>
      </c>
      <c r="D85" s="72"/>
      <c r="E85" s="73" t="s">
        <v>337</v>
      </c>
      <c r="F85" s="74" t="s">
        <v>338</v>
      </c>
      <c r="G85" s="10">
        <v>45534</v>
      </c>
      <c r="H85" s="11">
        <v>407.76</v>
      </c>
      <c r="I85" s="10" t="s">
        <v>350</v>
      </c>
      <c r="J85" s="11">
        <v>418.63</v>
      </c>
      <c r="K85" s="78">
        <v>30</v>
      </c>
      <c r="L85" s="79">
        <f>(J85-H85)*K85</f>
        <v>326.10000000000014</v>
      </c>
      <c r="M85" s="82">
        <v>8.1712319999999998</v>
      </c>
      <c r="N85" s="80">
        <f>M85*L85</f>
        <v>2664.638755200001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9.45" customHeight="1" x14ac:dyDescent="0.3">
      <c r="A86" s="2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55" t="s">
        <v>241</v>
      </c>
      <c r="N86" s="56">
        <f>SUM(N85)</f>
        <v>2664.638755200001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9.4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9.45" customHeight="1" x14ac:dyDescent="0.3">
      <c r="A88" s="2"/>
      <c r="B88" s="458" t="s">
        <v>351</v>
      </c>
      <c r="C88" s="458"/>
      <c r="D88" s="458"/>
      <c r="E88" s="458"/>
      <c r="F88" s="458"/>
      <c r="G88" s="458"/>
      <c r="H88" s="458"/>
      <c r="I88" s="458"/>
      <c r="J88" s="458"/>
      <c r="K88" s="458"/>
      <c r="L88" s="458"/>
      <c r="M88" s="458"/>
      <c r="N88" s="45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9.45" customHeight="1" x14ac:dyDescent="0.3">
      <c r="A89" s="2"/>
      <c r="B89" s="459" t="s">
        <v>224</v>
      </c>
      <c r="C89" s="459"/>
      <c r="D89" s="3"/>
      <c r="E89" s="460" t="s">
        <v>335</v>
      </c>
      <c r="F89" s="460"/>
      <c r="G89" s="460"/>
      <c r="H89" s="460"/>
      <c r="I89" s="460"/>
      <c r="J89" s="460"/>
      <c r="K89" s="460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9.45" customHeight="1" x14ac:dyDescent="0.3">
      <c r="A90" s="2"/>
      <c r="B90" s="2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9.45" customHeight="1" x14ac:dyDescent="0.3">
      <c r="A91" s="2"/>
      <c r="B91" s="470" t="s">
        <v>227</v>
      </c>
      <c r="C91" s="469" t="s">
        <v>228</v>
      </c>
      <c r="D91" s="469" t="s">
        <v>229</v>
      </c>
      <c r="E91" s="468" t="s">
        <v>230</v>
      </c>
      <c r="F91" s="468" t="s">
        <v>231</v>
      </c>
      <c r="G91" s="468" t="s">
        <v>232</v>
      </c>
      <c r="H91" s="468"/>
      <c r="I91" s="468"/>
      <c r="J91" s="468"/>
      <c r="K91" s="468" t="s">
        <v>9</v>
      </c>
      <c r="L91" s="468" t="s">
        <v>233</v>
      </c>
      <c r="M91" s="472" t="s">
        <v>234</v>
      </c>
      <c r="N91" s="464" t="s">
        <v>18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9.45" customHeight="1" x14ac:dyDescent="0.3">
      <c r="A92" s="2"/>
      <c r="B92" s="471"/>
      <c r="C92" s="453"/>
      <c r="D92" s="453"/>
      <c r="E92" s="454"/>
      <c r="F92" s="454"/>
      <c r="G92" s="7" t="s">
        <v>235</v>
      </c>
      <c r="H92" s="6" t="s">
        <v>236</v>
      </c>
      <c r="I92" s="7" t="s">
        <v>235</v>
      </c>
      <c r="J92" s="6" t="s">
        <v>236</v>
      </c>
      <c r="K92" s="454"/>
      <c r="L92" s="454"/>
      <c r="M92" s="454"/>
      <c r="N92" s="46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9.45" customHeight="1" x14ac:dyDescent="0.3">
      <c r="A93" s="2"/>
      <c r="B93" s="70">
        <v>1</v>
      </c>
      <c r="C93" s="71" t="s">
        <v>336</v>
      </c>
      <c r="D93" s="72"/>
      <c r="E93" s="73" t="s">
        <v>337</v>
      </c>
      <c r="F93" s="74" t="s">
        <v>338</v>
      </c>
      <c r="G93" s="10" t="s">
        <v>350</v>
      </c>
      <c r="H93" s="11">
        <v>418.63</v>
      </c>
      <c r="I93" s="10">
        <v>45596</v>
      </c>
      <c r="J93" s="11">
        <v>439.73</v>
      </c>
      <c r="K93" s="78">
        <v>30</v>
      </c>
      <c r="L93" s="79">
        <f>(J93-H93)*K93</f>
        <v>633.00000000000068</v>
      </c>
      <c r="M93" s="82">
        <v>8.2268399999999993</v>
      </c>
      <c r="N93" s="80">
        <f>M93*L93</f>
        <v>5207.5897200000054</v>
      </c>
      <c r="O93" s="2"/>
      <c r="P93" s="2"/>
      <c r="Q93" s="2">
        <f>1.2*6.8557</f>
        <v>8.2268399999999993</v>
      </c>
      <c r="R93" s="2"/>
      <c r="S93" s="2"/>
      <c r="T93" s="2"/>
      <c r="U93" s="2"/>
      <c r="V93" s="2"/>
      <c r="W93" s="2"/>
      <c r="X93" s="2"/>
      <c r="Y93" s="2"/>
      <c r="Z93" s="2"/>
    </row>
    <row r="94" spans="1:26" ht="29.45" customHeight="1" x14ac:dyDescent="0.3">
      <c r="A94" s="2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55" t="s">
        <v>241</v>
      </c>
      <c r="N94" s="56">
        <f>SUM(N93)</f>
        <v>5207.5897200000054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.4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9.45" customHeight="1" x14ac:dyDescent="0.3">
      <c r="A96" s="2"/>
      <c r="B96" s="458" t="s">
        <v>352</v>
      </c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9.45" customHeight="1" x14ac:dyDescent="0.3">
      <c r="A97" s="2"/>
      <c r="B97" s="459" t="s">
        <v>224</v>
      </c>
      <c r="C97" s="459"/>
      <c r="D97" s="3"/>
      <c r="E97" s="460" t="s">
        <v>335</v>
      </c>
      <c r="F97" s="460"/>
      <c r="G97" s="460"/>
      <c r="H97" s="460"/>
      <c r="I97" s="460"/>
      <c r="J97" s="460"/>
      <c r="K97" s="460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9.45" customHeight="1" x14ac:dyDescent="0.3">
      <c r="A98" s="2"/>
      <c r="B98" s="2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9.45" customHeight="1" x14ac:dyDescent="0.3">
      <c r="A99" s="2"/>
      <c r="B99" s="470" t="s">
        <v>227</v>
      </c>
      <c r="C99" s="469" t="s">
        <v>228</v>
      </c>
      <c r="D99" s="469" t="s">
        <v>229</v>
      </c>
      <c r="E99" s="468" t="s">
        <v>230</v>
      </c>
      <c r="F99" s="468" t="s">
        <v>231</v>
      </c>
      <c r="G99" s="468" t="s">
        <v>232</v>
      </c>
      <c r="H99" s="468"/>
      <c r="I99" s="468"/>
      <c r="J99" s="468"/>
      <c r="K99" s="468" t="s">
        <v>9</v>
      </c>
      <c r="L99" s="468" t="s">
        <v>233</v>
      </c>
      <c r="M99" s="472" t="s">
        <v>234</v>
      </c>
      <c r="N99" s="464" t="s">
        <v>18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9.45" customHeight="1" x14ac:dyDescent="0.3">
      <c r="A100" s="2"/>
      <c r="B100" s="471"/>
      <c r="C100" s="453"/>
      <c r="D100" s="453"/>
      <c r="E100" s="454"/>
      <c r="F100" s="454"/>
      <c r="G100" s="7" t="s">
        <v>235</v>
      </c>
      <c r="H100" s="6" t="s">
        <v>236</v>
      </c>
      <c r="I100" s="7" t="s">
        <v>235</v>
      </c>
      <c r="J100" s="6" t="s">
        <v>236</v>
      </c>
      <c r="K100" s="454"/>
      <c r="L100" s="454"/>
      <c r="M100" s="454"/>
      <c r="N100" s="46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9.45" customHeight="1" x14ac:dyDescent="0.3">
      <c r="A101" s="2"/>
      <c r="B101" s="70">
        <v>1</v>
      </c>
      <c r="C101" s="71" t="s">
        <v>336</v>
      </c>
      <c r="D101" s="72"/>
      <c r="E101" s="73" t="s">
        <v>337</v>
      </c>
      <c r="F101" s="74" t="s">
        <v>338</v>
      </c>
      <c r="G101" s="10">
        <v>45596</v>
      </c>
      <c r="H101" s="11">
        <v>439.73</v>
      </c>
      <c r="I101" s="10" t="s">
        <v>353</v>
      </c>
      <c r="J101" s="11">
        <v>507</v>
      </c>
      <c r="K101" s="78">
        <v>30</v>
      </c>
      <c r="L101" s="79">
        <f>(J101-H101)*K101</f>
        <v>2018.0999999999995</v>
      </c>
      <c r="M101" s="82">
        <v>8.2268399999999993</v>
      </c>
      <c r="N101" s="80">
        <f>M101*L101</f>
        <v>16602.585803999995</v>
      </c>
      <c r="O101" s="2"/>
      <c r="P101" s="2"/>
      <c r="Q101" s="2">
        <f>1.2*6.8557</f>
        <v>8.2268399999999993</v>
      </c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9.45" customHeight="1" x14ac:dyDescent="0.3">
      <c r="A102" s="2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55" t="s">
        <v>241</v>
      </c>
      <c r="N102" s="56">
        <f>SUM(N101)</f>
        <v>16602.585803999995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9.4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9.45" customHeight="1" x14ac:dyDescent="0.3">
      <c r="A104" s="2"/>
      <c r="B104" s="458" t="s">
        <v>354</v>
      </c>
      <c r="C104" s="458"/>
      <c r="D104" s="458"/>
      <c r="E104" s="458"/>
      <c r="F104" s="458"/>
      <c r="G104" s="458"/>
      <c r="H104" s="458"/>
      <c r="I104" s="458"/>
      <c r="J104" s="458"/>
      <c r="K104" s="458"/>
      <c r="L104" s="458"/>
      <c r="M104" s="458"/>
      <c r="N104" s="45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9.45" customHeight="1" x14ac:dyDescent="0.3">
      <c r="A105" s="2"/>
      <c r="B105" s="459" t="s">
        <v>224</v>
      </c>
      <c r="C105" s="459"/>
      <c r="D105" s="3"/>
      <c r="E105" s="460" t="s">
        <v>335</v>
      </c>
      <c r="F105" s="460"/>
      <c r="G105" s="460"/>
      <c r="H105" s="460"/>
      <c r="I105" s="460"/>
      <c r="J105" s="460"/>
      <c r="K105" s="460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9.45" customHeight="1" x14ac:dyDescent="0.3">
      <c r="A106" s="2"/>
      <c r="B106" s="2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9.45" customHeight="1" x14ac:dyDescent="0.3">
      <c r="A107" s="2"/>
      <c r="B107" s="470" t="s">
        <v>227</v>
      </c>
      <c r="C107" s="469" t="s">
        <v>228</v>
      </c>
      <c r="D107" s="469" t="s">
        <v>229</v>
      </c>
      <c r="E107" s="468" t="s">
        <v>230</v>
      </c>
      <c r="F107" s="468" t="s">
        <v>231</v>
      </c>
      <c r="G107" s="468" t="s">
        <v>232</v>
      </c>
      <c r="H107" s="468"/>
      <c r="I107" s="468"/>
      <c r="J107" s="468"/>
      <c r="K107" s="468" t="s">
        <v>9</v>
      </c>
      <c r="L107" s="468" t="s">
        <v>233</v>
      </c>
      <c r="M107" s="472" t="s">
        <v>234</v>
      </c>
      <c r="N107" s="464" t="s">
        <v>18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9.45" customHeight="1" x14ac:dyDescent="0.3">
      <c r="A108" s="2"/>
      <c r="B108" s="471"/>
      <c r="C108" s="453"/>
      <c r="D108" s="453"/>
      <c r="E108" s="454"/>
      <c r="F108" s="454"/>
      <c r="G108" s="7" t="s">
        <v>235</v>
      </c>
      <c r="H108" s="6" t="s">
        <v>236</v>
      </c>
      <c r="I108" s="7" t="s">
        <v>235</v>
      </c>
      <c r="J108" s="6" t="s">
        <v>236</v>
      </c>
      <c r="K108" s="454"/>
      <c r="L108" s="454"/>
      <c r="M108" s="454"/>
      <c r="N108" s="46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9.45" customHeight="1" x14ac:dyDescent="0.3">
      <c r="A109" s="2"/>
      <c r="B109" s="70">
        <v>1</v>
      </c>
      <c r="C109" s="71" t="s">
        <v>336</v>
      </c>
      <c r="D109" s="72"/>
      <c r="E109" s="73" t="s">
        <v>337</v>
      </c>
      <c r="F109" s="74" t="s">
        <v>338</v>
      </c>
      <c r="G109" s="10" t="s">
        <v>353</v>
      </c>
      <c r="H109" s="11">
        <v>507</v>
      </c>
      <c r="I109" s="10">
        <v>45657</v>
      </c>
      <c r="J109" s="11">
        <v>596.79</v>
      </c>
      <c r="K109" s="78">
        <v>30</v>
      </c>
      <c r="L109" s="79">
        <f>(J109-H109)*K109</f>
        <v>2693.6999999999989</v>
      </c>
      <c r="M109" s="83">
        <v>8.7144960000000005</v>
      </c>
      <c r="N109" s="84">
        <f>M109*L109</f>
        <v>23474.237875199993</v>
      </c>
      <c r="O109" s="2"/>
      <c r="P109" s="2"/>
      <c r="Q109" s="2">
        <f>7.26208*1.2</f>
        <v>8.7144960000000005</v>
      </c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9.45" customHeight="1" x14ac:dyDescent="0.3">
      <c r="A110" s="2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85" t="s">
        <v>241</v>
      </c>
      <c r="N110" s="86">
        <f>SUM(N109)</f>
        <v>23474.237875199993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9.45" customHeight="1" x14ac:dyDescent="0.3">
      <c r="A111" s="2"/>
      <c r="B111" s="458" t="s">
        <v>355</v>
      </c>
      <c r="C111" s="458"/>
      <c r="D111" s="458"/>
      <c r="E111" s="458"/>
      <c r="F111" s="458"/>
      <c r="G111" s="458"/>
      <c r="H111" s="458"/>
      <c r="I111" s="458"/>
      <c r="J111" s="458"/>
      <c r="K111" s="458"/>
      <c r="L111" s="458"/>
      <c r="M111" s="458"/>
      <c r="N111" s="45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9.45" customHeight="1" x14ac:dyDescent="0.3">
      <c r="A112" s="2"/>
      <c r="B112" s="459" t="s">
        <v>224</v>
      </c>
      <c r="C112" s="459"/>
      <c r="D112" s="3"/>
      <c r="E112" s="460" t="s">
        <v>335</v>
      </c>
      <c r="F112" s="460"/>
      <c r="G112" s="460"/>
      <c r="H112" s="460"/>
      <c r="I112" s="460"/>
      <c r="J112" s="460"/>
      <c r="K112" s="460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9.45" customHeight="1" x14ac:dyDescent="0.3">
      <c r="A113" s="2"/>
      <c r="B113" s="2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9.45" customHeight="1" x14ac:dyDescent="0.3">
      <c r="A114" s="2"/>
      <c r="B114" s="470" t="s">
        <v>227</v>
      </c>
      <c r="C114" s="469" t="s">
        <v>228</v>
      </c>
      <c r="D114" s="469" t="s">
        <v>229</v>
      </c>
      <c r="E114" s="468" t="s">
        <v>230</v>
      </c>
      <c r="F114" s="468" t="s">
        <v>231</v>
      </c>
      <c r="G114" s="468" t="s">
        <v>232</v>
      </c>
      <c r="H114" s="468"/>
      <c r="I114" s="468"/>
      <c r="J114" s="468"/>
      <c r="K114" s="468" t="s">
        <v>9</v>
      </c>
      <c r="L114" s="468" t="s">
        <v>233</v>
      </c>
      <c r="M114" s="466" t="s">
        <v>234</v>
      </c>
      <c r="N114" s="464" t="s">
        <v>18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9.45" customHeight="1" x14ac:dyDescent="0.3">
      <c r="A115" s="2"/>
      <c r="B115" s="471"/>
      <c r="C115" s="453"/>
      <c r="D115" s="453"/>
      <c r="E115" s="454"/>
      <c r="F115" s="454"/>
      <c r="G115" s="7" t="s">
        <v>235</v>
      </c>
      <c r="H115" s="6" t="s">
        <v>236</v>
      </c>
      <c r="I115" s="7" t="s">
        <v>235</v>
      </c>
      <c r="J115" s="6" t="s">
        <v>236</v>
      </c>
      <c r="K115" s="454"/>
      <c r="L115" s="454"/>
      <c r="M115" s="467"/>
      <c r="N115" s="46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9.45" customHeight="1" x14ac:dyDescent="0.3">
      <c r="A116" s="2"/>
      <c r="B116" s="70">
        <v>1</v>
      </c>
      <c r="C116" s="71" t="s">
        <v>336</v>
      </c>
      <c r="D116" s="72"/>
      <c r="E116" s="73" t="s">
        <v>337</v>
      </c>
      <c r="F116" s="74" t="s">
        <v>338</v>
      </c>
      <c r="G116" s="10">
        <v>45657</v>
      </c>
      <c r="H116" s="11">
        <v>596.79</v>
      </c>
      <c r="I116" s="10">
        <v>45688</v>
      </c>
      <c r="J116" s="11">
        <v>673.42</v>
      </c>
      <c r="K116" s="78">
        <v>30</v>
      </c>
      <c r="L116" s="79">
        <f>(J116-H116)*K116</f>
        <v>2298.8999999999996</v>
      </c>
      <c r="M116" s="87">
        <v>8.5936438463038805</v>
      </c>
      <c r="N116" s="84">
        <f>M116*L116</f>
        <v>19755.927838267988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9.45" customHeight="1" x14ac:dyDescent="0.3">
      <c r="A117" s="2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85" t="s">
        <v>241</v>
      </c>
      <c r="N117" s="86">
        <f>SUM(N116)</f>
        <v>19755.927838267988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9.45" customHeight="1" x14ac:dyDescent="0.3">
      <c r="A118" s="2"/>
      <c r="B118" s="458" t="s">
        <v>356</v>
      </c>
      <c r="C118" s="458"/>
      <c r="D118" s="458"/>
      <c r="E118" s="458"/>
      <c r="F118" s="458"/>
      <c r="G118" s="458"/>
      <c r="H118" s="458"/>
      <c r="I118" s="458"/>
      <c r="J118" s="458"/>
      <c r="K118" s="458"/>
      <c r="L118" s="458"/>
      <c r="M118" s="458"/>
      <c r="N118" s="45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9.45" customHeight="1" x14ac:dyDescent="0.3">
      <c r="A119" s="2"/>
      <c r="B119" s="459" t="s">
        <v>224</v>
      </c>
      <c r="C119" s="459"/>
      <c r="D119" s="3"/>
      <c r="E119" s="460" t="s">
        <v>335</v>
      </c>
      <c r="F119" s="460"/>
      <c r="G119" s="460"/>
      <c r="H119" s="460"/>
      <c r="I119" s="460"/>
      <c r="J119" s="460"/>
      <c r="K119" s="460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9.45" customHeight="1" x14ac:dyDescent="0.3">
      <c r="A120" s="2"/>
      <c r="B120" s="2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9.45" customHeight="1" x14ac:dyDescent="0.3">
      <c r="A121" s="2"/>
      <c r="B121" s="470" t="s">
        <v>227</v>
      </c>
      <c r="C121" s="469" t="s">
        <v>228</v>
      </c>
      <c r="D121" s="469" t="s">
        <v>229</v>
      </c>
      <c r="E121" s="468" t="s">
        <v>230</v>
      </c>
      <c r="F121" s="468" t="s">
        <v>231</v>
      </c>
      <c r="G121" s="468" t="s">
        <v>232</v>
      </c>
      <c r="H121" s="468"/>
      <c r="I121" s="468"/>
      <c r="J121" s="468"/>
      <c r="K121" s="468" t="s">
        <v>9</v>
      </c>
      <c r="L121" s="468" t="s">
        <v>233</v>
      </c>
      <c r="M121" s="466" t="s">
        <v>234</v>
      </c>
      <c r="N121" s="464" t="s">
        <v>18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9.45" customHeight="1" x14ac:dyDescent="0.3">
      <c r="A122" s="2"/>
      <c r="B122" s="471"/>
      <c r="C122" s="453"/>
      <c r="D122" s="453"/>
      <c r="E122" s="454"/>
      <c r="F122" s="454"/>
      <c r="G122" s="7" t="s">
        <v>235</v>
      </c>
      <c r="H122" s="6" t="s">
        <v>236</v>
      </c>
      <c r="I122" s="7" t="s">
        <v>235</v>
      </c>
      <c r="J122" s="6" t="s">
        <v>236</v>
      </c>
      <c r="K122" s="454"/>
      <c r="L122" s="454"/>
      <c r="M122" s="467"/>
      <c r="N122" s="46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9.45" customHeight="1" x14ac:dyDescent="0.3">
      <c r="A123" s="2"/>
      <c r="B123" s="70">
        <v>1</v>
      </c>
      <c r="C123" s="71" t="s">
        <v>336</v>
      </c>
      <c r="D123" s="72"/>
      <c r="E123" s="73" t="s">
        <v>337</v>
      </c>
      <c r="F123" s="74" t="s">
        <v>338</v>
      </c>
      <c r="G123" s="10">
        <v>45688</v>
      </c>
      <c r="H123" s="11">
        <v>673.42</v>
      </c>
      <c r="I123" s="10">
        <v>45716</v>
      </c>
      <c r="J123" s="11">
        <v>764.34</v>
      </c>
      <c r="K123" s="78">
        <v>30</v>
      </c>
      <c r="L123" s="79">
        <f>(J123-H123)*K123</f>
        <v>2727.6000000000022</v>
      </c>
      <c r="M123" s="87">
        <v>9.2773319999999995</v>
      </c>
      <c r="N123" s="84">
        <f>M123*L123</f>
        <v>25304.850763200018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9.45" customHeight="1" x14ac:dyDescent="0.3">
      <c r="A124" s="2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85" t="s">
        <v>241</v>
      </c>
      <c r="N124" s="86">
        <f>SUM(N123)</f>
        <v>25304.850763200018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9.45" customHeight="1" x14ac:dyDescent="0.3">
      <c r="A125" s="2"/>
      <c r="B125" s="458" t="s">
        <v>357</v>
      </c>
      <c r="C125" s="458"/>
      <c r="D125" s="458"/>
      <c r="E125" s="458"/>
      <c r="F125" s="458"/>
      <c r="G125" s="458"/>
      <c r="H125" s="458"/>
      <c r="I125" s="458"/>
      <c r="J125" s="458"/>
      <c r="K125" s="458"/>
      <c r="L125" s="458"/>
      <c r="M125" s="458"/>
      <c r="N125" s="45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9.45" customHeight="1" x14ac:dyDescent="0.3">
      <c r="A126" s="2"/>
      <c r="B126" s="459" t="s">
        <v>224</v>
      </c>
      <c r="C126" s="459"/>
      <c r="D126" s="3"/>
      <c r="E126" s="460" t="s">
        <v>335</v>
      </c>
      <c r="F126" s="460"/>
      <c r="G126" s="460"/>
      <c r="H126" s="460"/>
      <c r="I126" s="460"/>
      <c r="J126" s="460"/>
      <c r="K126" s="460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9.45" customHeight="1" x14ac:dyDescent="0.3">
      <c r="A127" s="2"/>
      <c r="B127" s="2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9.45" customHeight="1" x14ac:dyDescent="0.3">
      <c r="A128" s="2"/>
      <c r="B128" s="470" t="s">
        <v>227</v>
      </c>
      <c r="C128" s="469" t="s">
        <v>228</v>
      </c>
      <c r="D128" s="469" t="s">
        <v>229</v>
      </c>
      <c r="E128" s="468" t="s">
        <v>230</v>
      </c>
      <c r="F128" s="468" t="s">
        <v>231</v>
      </c>
      <c r="G128" s="468" t="s">
        <v>232</v>
      </c>
      <c r="H128" s="468"/>
      <c r="I128" s="468"/>
      <c r="J128" s="468"/>
      <c r="K128" s="468" t="s">
        <v>9</v>
      </c>
      <c r="L128" s="468" t="s">
        <v>233</v>
      </c>
      <c r="M128" s="466" t="s">
        <v>234</v>
      </c>
      <c r="N128" s="464" t="s">
        <v>18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9.45" customHeight="1" x14ac:dyDescent="0.3">
      <c r="A129" s="2"/>
      <c r="B129" s="471"/>
      <c r="C129" s="453"/>
      <c r="D129" s="453"/>
      <c r="E129" s="454"/>
      <c r="F129" s="454"/>
      <c r="G129" s="7" t="s">
        <v>235</v>
      </c>
      <c r="H129" s="6" t="s">
        <v>236</v>
      </c>
      <c r="I129" s="7" t="s">
        <v>235</v>
      </c>
      <c r="J129" s="6" t="s">
        <v>236</v>
      </c>
      <c r="K129" s="454"/>
      <c r="L129" s="454"/>
      <c r="M129" s="467"/>
      <c r="N129" s="46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9.45" customHeight="1" x14ac:dyDescent="0.3">
      <c r="A130" s="2"/>
      <c r="B130" s="70">
        <v>1</v>
      </c>
      <c r="C130" s="71" t="s">
        <v>336</v>
      </c>
      <c r="D130" s="72"/>
      <c r="E130" s="73" t="s">
        <v>337</v>
      </c>
      <c r="F130" s="74" t="s">
        <v>338</v>
      </c>
      <c r="G130" s="10">
        <v>45716</v>
      </c>
      <c r="H130" s="11">
        <v>764.34</v>
      </c>
      <c r="I130" s="10">
        <v>45747</v>
      </c>
      <c r="J130" s="11">
        <v>813.22</v>
      </c>
      <c r="K130" s="78">
        <v>30</v>
      </c>
      <c r="L130" s="79">
        <f>(J130-H130)*K130</f>
        <v>1466.3999999999999</v>
      </c>
      <c r="M130" s="87">
        <f>6.80699*1.2</f>
        <v>8.1683880000000002</v>
      </c>
      <c r="N130" s="84">
        <f>M130*L130</f>
        <v>11978.124163199998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9.45" customHeight="1" x14ac:dyDescent="0.3">
      <c r="A131" s="2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85" t="s">
        <v>241</v>
      </c>
      <c r="N131" s="86">
        <f>SUM(N130)</f>
        <v>11978.124163199998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9.4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9.45" customHeight="1" x14ac:dyDescent="0.3">
      <c r="A133" s="2"/>
      <c r="B133" s="458" t="s">
        <v>358</v>
      </c>
      <c r="C133" s="458"/>
      <c r="D133" s="458"/>
      <c r="E133" s="458"/>
      <c r="F133" s="458"/>
      <c r="G133" s="458"/>
      <c r="H133" s="458"/>
      <c r="I133" s="458"/>
      <c r="J133" s="458"/>
      <c r="K133" s="458"/>
      <c r="L133" s="458"/>
      <c r="M133" s="458"/>
      <c r="N133" s="45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9.45" customHeight="1" x14ac:dyDescent="0.3">
      <c r="A134" s="2"/>
      <c r="B134" s="459" t="s">
        <v>224</v>
      </c>
      <c r="C134" s="459"/>
      <c r="D134" s="3"/>
      <c r="E134" s="460" t="s">
        <v>335</v>
      </c>
      <c r="F134" s="460"/>
      <c r="G134" s="460"/>
      <c r="H134" s="460"/>
      <c r="I134" s="460"/>
      <c r="J134" s="460"/>
      <c r="K134" s="460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9.45" customHeight="1" x14ac:dyDescent="0.3">
      <c r="A135" s="2"/>
      <c r="B135" s="2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9.45" customHeight="1" x14ac:dyDescent="0.3">
      <c r="A136" s="2"/>
      <c r="B136" s="470" t="s">
        <v>227</v>
      </c>
      <c r="C136" s="469" t="s">
        <v>228</v>
      </c>
      <c r="D136" s="469" t="s">
        <v>229</v>
      </c>
      <c r="E136" s="468" t="s">
        <v>230</v>
      </c>
      <c r="F136" s="468" t="s">
        <v>231</v>
      </c>
      <c r="G136" s="468" t="s">
        <v>232</v>
      </c>
      <c r="H136" s="468"/>
      <c r="I136" s="468"/>
      <c r="J136" s="468"/>
      <c r="K136" s="468" t="s">
        <v>9</v>
      </c>
      <c r="L136" s="468" t="s">
        <v>233</v>
      </c>
      <c r="M136" s="466" t="s">
        <v>234</v>
      </c>
      <c r="N136" s="464" t="s">
        <v>18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9.45" customHeight="1" x14ac:dyDescent="0.3">
      <c r="A137" s="2"/>
      <c r="B137" s="471"/>
      <c r="C137" s="453"/>
      <c r="D137" s="453"/>
      <c r="E137" s="454"/>
      <c r="F137" s="454"/>
      <c r="G137" s="7" t="s">
        <v>235</v>
      </c>
      <c r="H137" s="6" t="s">
        <v>236</v>
      </c>
      <c r="I137" s="7" t="s">
        <v>235</v>
      </c>
      <c r="J137" s="6" t="s">
        <v>236</v>
      </c>
      <c r="K137" s="454"/>
      <c r="L137" s="454"/>
      <c r="M137" s="467"/>
      <c r="N137" s="46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9.45" customHeight="1" x14ac:dyDescent="0.3">
      <c r="A138" s="2"/>
      <c r="B138" s="70">
        <v>1</v>
      </c>
      <c r="C138" s="71" t="s">
        <v>336</v>
      </c>
      <c r="D138" s="72"/>
      <c r="E138" s="73" t="s">
        <v>337</v>
      </c>
      <c r="F138" s="74" t="s">
        <v>338</v>
      </c>
      <c r="G138" s="10">
        <v>45747</v>
      </c>
      <c r="H138" s="11">
        <v>813.22</v>
      </c>
      <c r="I138" s="10">
        <v>45777</v>
      </c>
      <c r="J138" s="11">
        <v>848.16</v>
      </c>
      <c r="K138" s="78">
        <v>30</v>
      </c>
      <c r="L138" s="79">
        <f>(J138-H138)*K138</f>
        <v>1048.1999999999982</v>
      </c>
      <c r="M138" s="87">
        <v>7.1310840000000004</v>
      </c>
      <c r="N138" s="84">
        <f>M138*L138</f>
        <v>7474.8022487999879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9.45" customHeight="1" x14ac:dyDescent="0.3">
      <c r="A139" s="2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85" t="s">
        <v>241</v>
      </c>
      <c r="N139" s="86">
        <f>SUM(N138)</f>
        <v>7474.8022487999879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9.45" customHeight="1" x14ac:dyDescent="0.3">
      <c r="A140" s="2"/>
      <c r="B140" s="458" t="s">
        <v>359</v>
      </c>
      <c r="C140" s="458"/>
      <c r="D140" s="458"/>
      <c r="E140" s="458"/>
      <c r="F140" s="458"/>
      <c r="G140" s="458"/>
      <c r="H140" s="458"/>
      <c r="I140" s="458"/>
      <c r="J140" s="458"/>
      <c r="K140" s="458"/>
      <c r="L140" s="458"/>
      <c r="M140" s="458"/>
      <c r="N140" s="45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9.45" customHeight="1" x14ac:dyDescent="0.3">
      <c r="A141" s="2"/>
      <c r="B141" s="459" t="s">
        <v>224</v>
      </c>
      <c r="C141" s="459"/>
      <c r="D141" s="3"/>
      <c r="E141" s="460" t="s">
        <v>335</v>
      </c>
      <c r="F141" s="460"/>
      <c r="G141" s="460"/>
      <c r="H141" s="460"/>
      <c r="I141" s="460"/>
      <c r="J141" s="460"/>
      <c r="K141" s="460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9.45" customHeight="1" x14ac:dyDescent="0.3">
      <c r="A142" s="2"/>
      <c r="B142" s="2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9.45" customHeight="1" x14ac:dyDescent="0.3">
      <c r="A143" s="2"/>
      <c r="B143" s="470" t="s">
        <v>227</v>
      </c>
      <c r="C143" s="469" t="s">
        <v>228</v>
      </c>
      <c r="D143" s="469" t="s">
        <v>229</v>
      </c>
      <c r="E143" s="468" t="s">
        <v>230</v>
      </c>
      <c r="F143" s="468" t="s">
        <v>231</v>
      </c>
      <c r="G143" s="468" t="s">
        <v>232</v>
      </c>
      <c r="H143" s="468"/>
      <c r="I143" s="468"/>
      <c r="J143" s="468"/>
      <c r="K143" s="468" t="s">
        <v>9</v>
      </c>
      <c r="L143" s="468" t="s">
        <v>233</v>
      </c>
      <c r="M143" s="466" t="s">
        <v>234</v>
      </c>
      <c r="N143" s="464" t="s">
        <v>18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9.45" customHeight="1" x14ac:dyDescent="0.3">
      <c r="A144" s="2"/>
      <c r="B144" s="471"/>
      <c r="C144" s="453"/>
      <c r="D144" s="453"/>
      <c r="E144" s="454"/>
      <c r="F144" s="454"/>
      <c r="G144" s="7" t="s">
        <v>235</v>
      </c>
      <c r="H144" s="6" t="s">
        <v>236</v>
      </c>
      <c r="I144" s="7" t="s">
        <v>235</v>
      </c>
      <c r="J144" s="6" t="s">
        <v>236</v>
      </c>
      <c r="K144" s="454"/>
      <c r="L144" s="454"/>
      <c r="M144" s="467"/>
      <c r="N144" s="46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9.45" customHeight="1" x14ac:dyDescent="0.3">
      <c r="A145" s="2"/>
      <c r="B145" s="70">
        <v>1</v>
      </c>
      <c r="C145" s="71" t="s">
        <v>336</v>
      </c>
      <c r="D145" s="72"/>
      <c r="E145" s="73" t="s">
        <v>337</v>
      </c>
      <c r="F145" s="74" t="s">
        <v>338</v>
      </c>
      <c r="G145" s="10">
        <v>45777</v>
      </c>
      <c r="H145" s="11">
        <v>848.16</v>
      </c>
      <c r="I145" s="10">
        <v>45808</v>
      </c>
      <c r="J145" s="11">
        <v>871.52</v>
      </c>
      <c r="K145" s="78">
        <v>30</v>
      </c>
      <c r="L145" s="79">
        <f>(J145-H145)*K145</f>
        <v>700.80000000000041</v>
      </c>
      <c r="M145" s="87">
        <v>7.2623280702761699</v>
      </c>
      <c r="N145" s="84">
        <f>M145*L145</f>
        <v>5089.4395116495425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9.45" customHeight="1" x14ac:dyDescent="0.3">
      <c r="A146" s="2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85" t="s">
        <v>241</v>
      </c>
      <c r="N146" s="86">
        <f>SUM(N145)</f>
        <v>5089.4395116495425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9.45" customHeight="1" x14ac:dyDescent="0.3">
      <c r="A147" s="2"/>
      <c r="B147" s="458" t="s">
        <v>360</v>
      </c>
      <c r="C147" s="458"/>
      <c r="D147" s="458"/>
      <c r="E147" s="458"/>
      <c r="F147" s="458"/>
      <c r="G147" s="458"/>
      <c r="H147" s="458"/>
      <c r="I147" s="458"/>
      <c r="J147" s="458"/>
      <c r="K147" s="458"/>
      <c r="L147" s="458"/>
      <c r="M147" s="458"/>
      <c r="N147" s="45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9.45" customHeight="1" x14ac:dyDescent="0.3">
      <c r="A148" s="2"/>
      <c r="B148" s="459" t="s">
        <v>224</v>
      </c>
      <c r="C148" s="459"/>
      <c r="D148" s="3"/>
      <c r="E148" s="460" t="s">
        <v>335</v>
      </c>
      <c r="F148" s="460"/>
      <c r="G148" s="460"/>
      <c r="H148" s="460"/>
      <c r="I148" s="460"/>
      <c r="J148" s="460"/>
      <c r="K148" s="460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9.45" customHeight="1" x14ac:dyDescent="0.3">
      <c r="A149" s="2"/>
      <c r="B149" s="2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9.45" customHeight="1" x14ac:dyDescent="0.3">
      <c r="A150" s="2"/>
      <c r="B150" s="470" t="s">
        <v>227</v>
      </c>
      <c r="C150" s="469" t="s">
        <v>228</v>
      </c>
      <c r="D150" s="469" t="s">
        <v>229</v>
      </c>
      <c r="E150" s="468" t="s">
        <v>230</v>
      </c>
      <c r="F150" s="468" t="s">
        <v>231</v>
      </c>
      <c r="G150" s="468" t="s">
        <v>232</v>
      </c>
      <c r="H150" s="468"/>
      <c r="I150" s="468"/>
      <c r="J150" s="468"/>
      <c r="K150" s="468" t="s">
        <v>9</v>
      </c>
      <c r="L150" s="468" t="s">
        <v>233</v>
      </c>
      <c r="M150" s="466" t="s">
        <v>234</v>
      </c>
      <c r="N150" s="464" t="s">
        <v>18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9.45" customHeight="1" x14ac:dyDescent="0.3">
      <c r="A151" s="2"/>
      <c r="B151" s="471"/>
      <c r="C151" s="453"/>
      <c r="D151" s="453"/>
      <c r="E151" s="454"/>
      <c r="F151" s="454"/>
      <c r="G151" s="7" t="s">
        <v>235</v>
      </c>
      <c r="H151" s="6" t="s">
        <v>236</v>
      </c>
      <c r="I151" s="7" t="s">
        <v>235</v>
      </c>
      <c r="J151" s="6" t="s">
        <v>236</v>
      </c>
      <c r="K151" s="454"/>
      <c r="L151" s="454"/>
      <c r="M151" s="467"/>
      <c r="N151" s="46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9.45" customHeight="1" x14ac:dyDescent="0.3">
      <c r="A152" s="2"/>
      <c r="B152" s="70">
        <v>1</v>
      </c>
      <c r="C152" s="71" t="s">
        <v>336</v>
      </c>
      <c r="D152" s="72"/>
      <c r="E152" s="73" t="s">
        <v>337</v>
      </c>
      <c r="F152" s="74" t="s">
        <v>338</v>
      </c>
      <c r="G152" s="10">
        <v>45808</v>
      </c>
      <c r="H152" s="11">
        <v>871.52</v>
      </c>
      <c r="I152" s="10">
        <v>45838</v>
      </c>
      <c r="J152" s="11">
        <v>903.22</v>
      </c>
      <c r="K152" s="78">
        <v>30</v>
      </c>
      <c r="L152" s="79">
        <f>(J152-H152)*K152</f>
        <v>951.00000000000136</v>
      </c>
      <c r="M152" s="87">
        <v>7.2240000000000002</v>
      </c>
      <c r="N152" s="84">
        <f>M152*L152</f>
        <v>6870.0240000000103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9.45" customHeight="1" x14ac:dyDescent="0.3">
      <c r="A153" s="2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85" t="s">
        <v>241</v>
      </c>
      <c r="N153" s="86">
        <f>SUM(N152)</f>
        <v>6870.0240000000103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9.4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9.45" customHeight="1" x14ac:dyDescent="0.3">
      <c r="A155" s="2"/>
      <c r="B155" s="458" t="s">
        <v>361</v>
      </c>
      <c r="C155" s="458"/>
      <c r="D155" s="458"/>
      <c r="E155" s="458"/>
      <c r="F155" s="458"/>
      <c r="G155" s="458"/>
      <c r="H155" s="458"/>
      <c r="I155" s="458"/>
      <c r="J155" s="458"/>
      <c r="K155" s="458"/>
      <c r="L155" s="458"/>
      <c r="M155" s="458"/>
      <c r="N155" s="45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9.45" customHeight="1" x14ac:dyDescent="0.3">
      <c r="A156" s="2"/>
      <c r="B156" s="459" t="s">
        <v>224</v>
      </c>
      <c r="C156" s="459"/>
      <c r="D156" s="3"/>
      <c r="E156" s="460" t="s">
        <v>335</v>
      </c>
      <c r="F156" s="460"/>
      <c r="G156" s="460"/>
      <c r="H156" s="460"/>
      <c r="I156" s="460"/>
      <c r="J156" s="460"/>
      <c r="K156" s="460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9.45" customHeight="1" x14ac:dyDescent="0.3">
      <c r="A157" s="2"/>
      <c r="B157" s="2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9.45" customHeight="1" x14ac:dyDescent="0.3">
      <c r="A158" s="2"/>
      <c r="B158" s="470" t="s">
        <v>227</v>
      </c>
      <c r="C158" s="469" t="s">
        <v>228</v>
      </c>
      <c r="D158" s="469" t="s">
        <v>229</v>
      </c>
      <c r="E158" s="468" t="s">
        <v>230</v>
      </c>
      <c r="F158" s="468" t="s">
        <v>231</v>
      </c>
      <c r="G158" s="468" t="s">
        <v>232</v>
      </c>
      <c r="H158" s="468"/>
      <c r="I158" s="468"/>
      <c r="J158" s="468"/>
      <c r="K158" s="468" t="s">
        <v>9</v>
      </c>
      <c r="L158" s="468" t="s">
        <v>233</v>
      </c>
      <c r="M158" s="466" t="s">
        <v>234</v>
      </c>
      <c r="N158" s="464" t="s">
        <v>18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9.45" customHeight="1" x14ac:dyDescent="0.3">
      <c r="A159" s="2"/>
      <c r="B159" s="471"/>
      <c r="C159" s="453"/>
      <c r="D159" s="453"/>
      <c r="E159" s="454"/>
      <c r="F159" s="454"/>
      <c r="G159" s="7" t="s">
        <v>235</v>
      </c>
      <c r="H159" s="6" t="s">
        <v>236</v>
      </c>
      <c r="I159" s="7" t="s">
        <v>235</v>
      </c>
      <c r="J159" s="6" t="s">
        <v>236</v>
      </c>
      <c r="K159" s="454"/>
      <c r="L159" s="454"/>
      <c r="M159" s="467"/>
      <c r="N159" s="46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9.45" customHeight="1" x14ac:dyDescent="0.3">
      <c r="A160" s="2"/>
      <c r="B160" s="70">
        <v>1</v>
      </c>
      <c r="C160" s="71" t="s">
        <v>336</v>
      </c>
      <c r="D160" s="72"/>
      <c r="E160" s="73" t="s">
        <v>337</v>
      </c>
      <c r="F160" s="74" t="s">
        <v>338</v>
      </c>
      <c r="G160" s="10">
        <v>45838</v>
      </c>
      <c r="H160" s="11">
        <v>903.22</v>
      </c>
      <c r="I160" s="10">
        <v>45869</v>
      </c>
      <c r="J160" s="11">
        <v>937.58</v>
      </c>
      <c r="K160" s="78">
        <v>30</v>
      </c>
      <c r="L160" s="79">
        <f>(J160-H160)*K160</f>
        <v>1030.8000000000004</v>
      </c>
      <c r="M160" s="88">
        <v>7.941516</v>
      </c>
      <c r="N160" s="84">
        <f>M160*L160</f>
        <v>8186.1146928000035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9.45" customHeight="1" x14ac:dyDescent="0.3">
      <c r="A161" s="2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85" t="s">
        <v>241</v>
      </c>
      <c r="N161" s="86">
        <f>SUM(N160)</f>
        <v>8186.1146928000035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8.450000000000003" customHeight="1" x14ac:dyDescent="0.3">
      <c r="A162" s="2"/>
      <c r="B162" s="458" t="s">
        <v>362</v>
      </c>
      <c r="C162" s="458"/>
      <c r="D162" s="458"/>
      <c r="E162" s="458"/>
      <c r="F162" s="458"/>
      <c r="G162" s="458"/>
      <c r="H162" s="458"/>
      <c r="I162" s="458"/>
      <c r="J162" s="458"/>
      <c r="K162" s="458"/>
      <c r="L162" s="458"/>
      <c r="M162" s="458"/>
      <c r="N162" s="45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9.45" customHeight="1" x14ac:dyDescent="0.3">
      <c r="A163" s="2"/>
      <c r="B163" s="459" t="s">
        <v>224</v>
      </c>
      <c r="C163" s="459"/>
      <c r="D163" s="3"/>
      <c r="E163" s="460" t="s">
        <v>335</v>
      </c>
      <c r="F163" s="460"/>
      <c r="G163" s="460"/>
      <c r="H163" s="460"/>
      <c r="I163" s="460"/>
      <c r="J163" s="460"/>
      <c r="K163" s="460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9.45" customHeight="1" x14ac:dyDescent="0.3">
      <c r="A164" s="2"/>
      <c r="B164" s="2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9.45" customHeight="1" x14ac:dyDescent="0.3">
      <c r="A165" s="2"/>
      <c r="B165" s="470" t="s">
        <v>227</v>
      </c>
      <c r="C165" s="469" t="s">
        <v>228</v>
      </c>
      <c r="D165" s="469" t="s">
        <v>229</v>
      </c>
      <c r="E165" s="468" t="s">
        <v>230</v>
      </c>
      <c r="F165" s="468" t="s">
        <v>231</v>
      </c>
      <c r="G165" s="468" t="s">
        <v>232</v>
      </c>
      <c r="H165" s="468"/>
      <c r="I165" s="468"/>
      <c r="J165" s="468"/>
      <c r="K165" s="468" t="s">
        <v>9</v>
      </c>
      <c r="L165" s="468" t="s">
        <v>233</v>
      </c>
      <c r="M165" s="466" t="s">
        <v>234</v>
      </c>
      <c r="N165" s="464" t="s">
        <v>18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9.45" customHeight="1" x14ac:dyDescent="0.3">
      <c r="A166" s="2"/>
      <c r="B166" s="471"/>
      <c r="C166" s="453"/>
      <c r="D166" s="453"/>
      <c r="E166" s="454"/>
      <c r="F166" s="454"/>
      <c r="G166" s="7" t="s">
        <v>235</v>
      </c>
      <c r="H166" s="6" t="s">
        <v>236</v>
      </c>
      <c r="I166" s="7" t="s">
        <v>235</v>
      </c>
      <c r="J166" s="6" t="s">
        <v>236</v>
      </c>
      <c r="K166" s="454"/>
      <c r="L166" s="454"/>
      <c r="M166" s="467"/>
      <c r="N166" s="46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9.45" customHeight="1" x14ac:dyDescent="0.3">
      <c r="A167" s="2"/>
      <c r="B167" s="70">
        <v>1</v>
      </c>
      <c r="C167" s="71" t="s">
        <v>336</v>
      </c>
      <c r="D167" s="72"/>
      <c r="E167" s="73" t="s">
        <v>337</v>
      </c>
      <c r="F167" s="74" t="s">
        <v>338</v>
      </c>
      <c r="G167" s="10">
        <v>45869</v>
      </c>
      <c r="H167" s="11">
        <v>937.58</v>
      </c>
      <c r="I167" s="10">
        <v>45900</v>
      </c>
      <c r="J167" s="11">
        <v>985.97</v>
      </c>
      <c r="K167" s="78">
        <v>30</v>
      </c>
      <c r="L167" s="79">
        <f>(J167-H167)*K167</f>
        <v>1451.6999999999996</v>
      </c>
      <c r="M167" s="88">
        <v>7.9877639850825801</v>
      </c>
      <c r="N167" s="84">
        <f>M167*L167</f>
        <v>11595.836977144378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9.45" customHeight="1" x14ac:dyDescent="0.3">
      <c r="A168" s="2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85" t="s">
        <v>241</v>
      </c>
      <c r="N168" s="86">
        <f>SUM(N167)</f>
        <v>11595.836977144378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8.450000000000003" customHeight="1" x14ac:dyDescent="0.3">
      <c r="A169" s="2"/>
      <c r="B169" s="458" t="s">
        <v>363</v>
      </c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9.45" customHeight="1" x14ac:dyDescent="0.3">
      <c r="A170" s="2"/>
      <c r="B170" s="459" t="s">
        <v>224</v>
      </c>
      <c r="C170" s="459"/>
      <c r="D170" s="3"/>
      <c r="E170" s="460" t="s">
        <v>335</v>
      </c>
      <c r="F170" s="460"/>
      <c r="G170" s="460"/>
      <c r="H170" s="460"/>
      <c r="I170" s="460"/>
      <c r="J170" s="460"/>
      <c r="K170" s="460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9.45" customHeight="1" x14ac:dyDescent="0.3">
      <c r="A171" s="2"/>
      <c r="B171" s="2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9.45" customHeight="1" x14ac:dyDescent="0.3">
      <c r="A172" s="2"/>
      <c r="B172" s="470" t="s">
        <v>227</v>
      </c>
      <c r="C172" s="469" t="s">
        <v>228</v>
      </c>
      <c r="D172" s="469" t="s">
        <v>229</v>
      </c>
      <c r="E172" s="468" t="s">
        <v>230</v>
      </c>
      <c r="F172" s="468" t="s">
        <v>231</v>
      </c>
      <c r="G172" s="468" t="s">
        <v>232</v>
      </c>
      <c r="H172" s="468"/>
      <c r="I172" s="468"/>
      <c r="J172" s="468"/>
      <c r="K172" s="468" t="s">
        <v>9</v>
      </c>
      <c r="L172" s="468" t="s">
        <v>233</v>
      </c>
      <c r="M172" s="466" t="s">
        <v>234</v>
      </c>
      <c r="N172" s="464" t="s">
        <v>18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9.45" customHeight="1" x14ac:dyDescent="0.3">
      <c r="A173" s="2"/>
      <c r="B173" s="471"/>
      <c r="C173" s="453"/>
      <c r="D173" s="453"/>
      <c r="E173" s="454"/>
      <c r="F173" s="454"/>
      <c r="G173" s="7" t="s">
        <v>235</v>
      </c>
      <c r="H173" s="6" t="s">
        <v>236</v>
      </c>
      <c r="I173" s="7" t="s">
        <v>235</v>
      </c>
      <c r="J173" s="6" t="s">
        <v>236</v>
      </c>
      <c r="K173" s="454"/>
      <c r="L173" s="454"/>
      <c r="M173" s="467"/>
      <c r="N173" s="46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9.45" customHeight="1" x14ac:dyDescent="0.3">
      <c r="A174" s="2"/>
      <c r="B174" s="70">
        <v>1</v>
      </c>
      <c r="C174" s="71" t="s">
        <v>336</v>
      </c>
      <c r="D174" s="72"/>
      <c r="E174" s="73" t="s">
        <v>337</v>
      </c>
      <c r="F174" s="74" t="s">
        <v>338</v>
      </c>
      <c r="G174" s="10">
        <v>45900</v>
      </c>
      <c r="H174" s="11">
        <v>985.97</v>
      </c>
      <c r="I174" s="10">
        <v>45930</v>
      </c>
      <c r="J174" s="11">
        <v>1021.46</v>
      </c>
      <c r="K174" s="78">
        <v>30</v>
      </c>
      <c r="L174" s="79">
        <f>(J174-H174)*K174</f>
        <v>1064.7000000000003</v>
      </c>
      <c r="M174" s="88">
        <f>субаренда!AE23</f>
        <v>11.91194</v>
      </c>
      <c r="N174" s="84">
        <f>M174*L174</f>
        <v>12682.642518000002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9.45" customHeight="1" x14ac:dyDescent="0.3">
      <c r="A175" s="2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85" t="s">
        <v>241</v>
      </c>
      <c r="N175" s="86">
        <f>SUM(N174)</f>
        <v>12682.642518000002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8.450000000000003" customHeight="1" x14ac:dyDescent="0.3">
      <c r="A176" s="2"/>
      <c r="B176" s="458" t="s">
        <v>364</v>
      </c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9.45" customHeight="1" x14ac:dyDescent="0.3">
      <c r="A177" s="2"/>
      <c r="B177" s="459" t="s">
        <v>224</v>
      </c>
      <c r="C177" s="459"/>
      <c r="D177" s="3"/>
      <c r="E177" s="460" t="s">
        <v>335</v>
      </c>
      <c r="F177" s="460"/>
      <c r="G177" s="460"/>
      <c r="H177" s="460"/>
      <c r="I177" s="460"/>
      <c r="J177" s="460"/>
      <c r="K177" s="460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9.45" customHeight="1" x14ac:dyDescent="0.3">
      <c r="A178" s="2"/>
      <c r="B178" s="2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9.45" customHeight="1" x14ac:dyDescent="0.3">
      <c r="A179" s="2"/>
      <c r="B179" s="470" t="s">
        <v>227</v>
      </c>
      <c r="C179" s="469" t="s">
        <v>228</v>
      </c>
      <c r="D179" s="469" t="s">
        <v>229</v>
      </c>
      <c r="E179" s="468" t="s">
        <v>230</v>
      </c>
      <c r="F179" s="468" t="s">
        <v>231</v>
      </c>
      <c r="G179" s="468" t="s">
        <v>232</v>
      </c>
      <c r="H179" s="468"/>
      <c r="I179" s="468"/>
      <c r="J179" s="468"/>
      <c r="K179" s="468" t="s">
        <v>9</v>
      </c>
      <c r="L179" s="468" t="s">
        <v>233</v>
      </c>
      <c r="M179" s="466" t="s">
        <v>234</v>
      </c>
      <c r="N179" s="464" t="s">
        <v>18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9.45" customHeight="1" x14ac:dyDescent="0.3">
      <c r="A180" s="2"/>
      <c r="B180" s="471"/>
      <c r="C180" s="453"/>
      <c r="D180" s="453"/>
      <c r="E180" s="454"/>
      <c r="F180" s="454"/>
      <c r="G180" s="7" t="s">
        <v>235</v>
      </c>
      <c r="H180" s="6" t="s">
        <v>236</v>
      </c>
      <c r="I180" s="7" t="s">
        <v>235</v>
      </c>
      <c r="J180" s="6" t="s">
        <v>236</v>
      </c>
      <c r="K180" s="454"/>
      <c r="L180" s="454"/>
      <c r="M180" s="467"/>
      <c r="N180" s="46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9.45" customHeight="1" x14ac:dyDescent="0.3">
      <c r="A181" s="2"/>
      <c r="B181" s="70">
        <v>1</v>
      </c>
      <c r="C181" s="71" t="s">
        <v>336</v>
      </c>
      <c r="D181" s="72"/>
      <c r="E181" s="73" t="s">
        <v>337</v>
      </c>
      <c r="F181" s="74" t="s">
        <v>338</v>
      </c>
      <c r="G181" s="10">
        <v>45930</v>
      </c>
      <c r="H181" s="11">
        <v>1021.46</v>
      </c>
      <c r="I181" s="10">
        <v>45961</v>
      </c>
      <c r="J181" s="11">
        <v>1067</v>
      </c>
      <c r="K181" s="78">
        <v>30</v>
      </c>
      <c r="L181" s="79">
        <f>(J181-H181)*K181</f>
        <v>1366.1999999999989</v>
      </c>
      <c r="M181" s="88">
        <v>9.5370954561465293</v>
      </c>
      <c r="N181" s="84">
        <f>M181*L181</f>
        <v>13029.579812187378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9.45" customHeight="1" x14ac:dyDescent="0.3">
      <c r="A182" s="2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85" t="s">
        <v>241</v>
      </c>
      <c r="N182" s="86">
        <f>SUM(N181)</f>
        <v>13029.579812187378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9.45" customHeight="1" x14ac:dyDescent="0.3">
      <c r="A183" s="2"/>
      <c r="B183" s="458" t="s">
        <v>365</v>
      </c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9.45" customHeight="1" x14ac:dyDescent="0.3">
      <c r="A184" s="2"/>
      <c r="B184" s="459" t="s">
        <v>224</v>
      </c>
      <c r="C184" s="459"/>
      <c r="D184" s="3"/>
      <c r="E184" s="460" t="s">
        <v>335</v>
      </c>
      <c r="F184" s="460"/>
      <c r="G184" s="460"/>
      <c r="H184" s="460"/>
      <c r="I184" s="460"/>
      <c r="J184" s="460"/>
      <c r="K184" s="460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9.45" customHeight="1" x14ac:dyDescent="0.3">
      <c r="A185" s="2"/>
      <c r="B185" s="2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9.45" customHeight="1" x14ac:dyDescent="0.3">
      <c r="A186" s="2"/>
      <c r="B186" s="470" t="s">
        <v>227</v>
      </c>
      <c r="C186" s="469" t="s">
        <v>228</v>
      </c>
      <c r="D186" s="469" t="s">
        <v>229</v>
      </c>
      <c r="E186" s="468" t="s">
        <v>230</v>
      </c>
      <c r="F186" s="468" t="s">
        <v>231</v>
      </c>
      <c r="G186" s="468" t="s">
        <v>232</v>
      </c>
      <c r="H186" s="468"/>
      <c r="I186" s="468"/>
      <c r="J186" s="468"/>
      <c r="K186" s="468" t="s">
        <v>9</v>
      </c>
      <c r="L186" s="468" t="s">
        <v>233</v>
      </c>
      <c r="M186" s="466" t="s">
        <v>234</v>
      </c>
      <c r="N186" s="464" t="s">
        <v>18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9.45" customHeight="1" x14ac:dyDescent="0.3">
      <c r="A187" s="2"/>
      <c r="B187" s="471"/>
      <c r="C187" s="453"/>
      <c r="D187" s="453"/>
      <c r="E187" s="454"/>
      <c r="F187" s="454"/>
      <c r="G187" s="7" t="s">
        <v>235</v>
      </c>
      <c r="H187" s="6" t="s">
        <v>236</v>
      </c>
      <c r="I187" s="7" t="s">
        <v>235</v>
      </c>
      <c r="J187" s="6" t="s">
        <v>236</v>
      </c>
      <c r="K187" s="454"/>
      <c r="L187" s="454"/>
      <c r="M187" s="467"/>
      <c r="N187" s="46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9.45" customHeight="1" x14ac:dyDescent="0.3">
      <c r="A188" s="2"/>
      <c r="B188" s="70">
        <v>1</v>
      </c>
      <c r="C188" s="71" t="s">
        <v>336</v>
      </c>
      <c r="D188" s="72"/>
      <c r="E188" s="73" t="s">
        <v>337</v>
      </c>
      <c r="F188" s="74" t="s">
        <v>338</v>
      </c>
      <c r="G188" s="10">
        <v>45961</v>
      </c>
      <c r="H188" s="11">
        <v>1067</v>
      </c>
      <c r="I188" s="10">
        <v>45991</v>
      </c>
      <c r="J188" s="11">
        <v>1123</v>
      </c>
      <c r="K188" s="78">
        <v>30</v>
      </c>
      <c r="L188" s="79">
        <f>(J188-H188)*K188</f>
        <v>1680</v>
      </c>
      <c r="M188" s="87">
        <v>10.118063968949899</v>
      </c>
      <c r="N188" s="84">
        <f>M188*L188</f>
        <v>16998.347467835833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9.45" customHeight="1" x14ac:dyDescent="0.3">
      <c r="A189" s="2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85" t="s">
        <v>241</v>
      </c>
      <c r="N189" s="86">
        <f>SUM(N188)</f>
        <v>16998.347467835833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9.45" customHeight="1" x14ac:dyDescent="0.3">
      <c r="A190" s="2"/>
      <c r="B190" s="458" t="s">
        <v>366</v>
      </c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9.45" customHeight="1" x14ac:dyDescent="0.3">
      <c r="A191" s="2"/>
      <c r="B191" s="459" t="s">
        <v>224</v>
      </c>
      <c r="C191" s="459"/>
      <c r="D191" s="3"/>
      <c r="E191" s="460" t="s">
        <v>335</v>
      </c>
      <c r="F191" s="460"/>
      <c r="G191" s="460"/>
      <c r="H191" s="460"/>
      <c r="I191" s="460"/>
      <c r="J191" s="460"/>
      <c r="K191" s="460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9.45" customHeight="1" x14ac:dyDescent="0.3">
      <c r="A192" s="2"/>
      <c r="B192" s="2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9.45" customHeight="1" x14ac:dyDescent="0.3">
      <c r="A193" s="2"/>
      <c r="B193" s="470" t="s">
        <v>227</v>
      </c>
      <c r="C193" s="469" t="s">
        <v>228</v>
      </c>
      <c r="D193" s="469" t="s">
        <v>229</v>
      </c>
      <c r="E193" s="468" t="s">
        <v>230</v>
      </c>
      <c r="F193" s="468" t="s">
        <v>231</v>
      </c>
      <c r="G193" s="468" t="s">
        <v>232</v>
      </c>
      <c r="H193" s="468"/>
      <c r="I193" s="468"/>
      <c r="J193" s="468"/>
      <c r="K193" s="468" t="s">
        <v>9</v>
      </c>
      <c r="L193" s="468" t="s">
        <v>233</v>
      </c>
      <c r="M193" s="466" t="s">
        <v>234</v>
      </c>
      <c r="N193" s="464" t="s">
        <v>18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9.45" customHeight="1" x14ac:dyDescent="0.3">
      <c r="A194" s="2"/>
      <c r="B194" s="471"/>
      <c r="C194" s="453"/>
      <c r="D194" s="453"/>
      <c r="E194" s="454"/>
      <c r="F194" s="454"/>
      <c r="G194" s="7" t="s">
        <v>235</v>
      </c>
      <c r="H194" s="6" t="s">
        <v>236</v>
      </c>
      <c r="I194" s="7" t="s">
        <v>235</v>
      </c>
      <c r="J194" s="6" t="s">
        <v>236</v>
      </c>
      <c r="K194" s="454"/>
      <c r="L194" s="454"/>
      <c r="M194" s="467"/>
      <c r="N194" s="46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9.45" customHeight="1" x14ac:dyDescent="0.3">
      <c r="A195" s="2"/>
      <c r="B195" s="70">
        <v>1</v>
      </c>
      <c r="C195" s="71" t="s">
        <v>336</v>
      </c>
      <c r="D195" s="72"/>
      <c r="E195" s="73" t="s">
        <v>337</v>
      </c>
      <c r="F195" s="74" t="s">
        <v>338</v>
      </c>
      <c r="G195" s="10">
        <v>45991</v>
      </c>
      <c r="H195" s="11">
        <v>1123</v>
      </c>
      <c r="I195" s="10">
        <v>46022</v>
      </c>
      <c r="J195" s="89">
        <v>1215.95</v>
      </c>
      <c r="K195" s="78">
        <v>30</v>
      </c>
      <c r="L195" s="79">
        <f>(J195-H195)*K195</f>
        <v>2788.5000000000014</v>
      </c>
      <c r="M195" s="400">
        <v>10.118063968949899</v>
      </c>
      <c r="N195" s="84">
        <f>M195*L195</f>
        <v>28214.221377416809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9.45" customHeight="1" x14ac:dyDescent="0.3">
      <c r="A196" s="2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85" t="s">
        <v>241</v>
      </c>
      <c r="N196" s="86">
        <f>SUM(N195)</f>
        <v>28214.221377416809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9.4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9.45" customHeight="1" x14ac:dyDescent="0.3">
      <c r="A198" s="2"/>
      <c r="B198" s="458" t="s">
        <v>387</v>
      </c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9.45" customHeight="1" x14ac:dyDescent="0.3">
      <c r="A199" s="2"/>
      <c r="B199" s="459" t="s">
        <v>224</v>
      </c>
      <c r="C199" s="459"/>
      <c r="D199" s="3"/>
      <c r="E199" s="460" t="s">
        <v>335</v>
      </c>
      <c r="F199" s="460"/>
      <c r="G199" s="460"/>
      <c r="H199" s="460"/>
      <c r="I199" s="460"/>
      <c r="J199" s="460"/>
      <c r="K199" s="460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9.45" customHeight="1" thickBot="1" x14ac:dyDescent="0.35">
      <c r="A200" s="2"/>
      <c r="B200" s="2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9.45" customHeight="1" x14ac:dyDescent="0.3">
      <c r="A201" s="2"/>
      <c r="B201" s="470" t="s">
        <v>227</v>
      </c>
      <c r="C201" s="469" t="s">
        <v>228</v>
      </c>
      <c r="D201" s="469" t="s">
        <v>229</v>
      </c>
      <c r="E201" s="468" t="s">
        <v>230</v>
      </c>
      <c r="F201" s="468" t="s">
        <v>231</v>
      </c>
      <c r="G201" s="468" t="s">
        <v>232</v>
      </c>
      <c r="H201" s="468"/>
      <c r="I201" s="468"/>
      <c r="J201" s="468"/>
      <c r="K201" s="468" t="s">
        <v>9</v>
      </c>
      <c r="L201" s="468" t="s">
        <v>233</v>
      </c>
      <c r="M201" s="466" t="s">
        <v>234</v>
      </c>
      <c r="N201" s="464" t="s">
        <v>18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9.45" customHeight="1" x14ac:dyDescent="0.3">
      <c r="A202" s="2"/>
      <c r="B202" s="471"/>
      <c r="C202" s="453"/>
      <c r="D202" s="453"/>
      <c r="E202" s="454"/>
      <c r="F202" s="454"/>
      <c r="G202" s="7" t="s">
        <v>235</v>
      </c>
      <c r="H202" s="6" t="s">
        <v>236</v>
      </c>
      <c r="I202" s="7" t="s">
        <v>235</v>
      </c>
      <c r="J202" s="6" t="s">
        <v>236</v>
      </c>
      <c r="K202" s="454"/>
      <c r="L202" s="454"/>
      <c r="M202" s="467"/>
      <c r="N202" s="46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9.45" customHeight="1" thickBot="1" x14ac:dyDescent="0.35">
      <c r="A203" s="2"/>
      <c r="B203" s="70">
        <v>1</v>
      </c>
      <c r="C203" s="71" t="s">
        <v>336</v>
      </c>
      <c r="D203" s="72"/>
      <c r="E203" s="73" t="s">
        <v>337</v>
      </c>
      <c r="F203" s="74" t="s">
        <v>338</v>
      </c>
      <c r="G203" s="10">
        <v>46022</v>
      </c>
      <c r="H203" s="11">
        <v>1215.95</v>
      </c>
      <c r="I203" s="10">
        <v>46022</v>
      </c>
      <c r="J203" s="89">
        <v>1318.08</v>
      </c>
      <c r="K203" s="78">
        <v>30</v>
      </c>
      <c r="L203" s="79">
        <f>(J203-H203)*K203</f>
        <v>3063.8999999999965</v>
      </c>
      <c r="M203" s="323">
        <v>11.91194</v>
      </c>
      <c r="N203" s="84">
        <f>M203*L203</f>
        <v>36496.992965999954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9.45" customHeight="1" thickBot="1" x14ac:dyDescent="0.35">
      <c r="A204" s="2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85" t="s">
        <v>241</v>
      </c>
      <c r="N204" s="86">
        <f>SUM(N203)</f>
        <v>36496.992965999954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9.4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9.4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9.4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9.4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9.4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9.4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9.4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9.4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9.4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9.4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9.4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9.4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9.4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9.4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9.4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9.4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9.4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9.4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9.4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9.4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9.4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9.4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9.4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9.4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9.4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9.4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9.4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9.4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9.4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9.4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9.4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9.4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9.4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9.4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9.4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9.4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9.4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9.4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9.4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9.4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9.4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9.4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9.4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9.4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9.4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9.4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9.4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9.4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9.4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9.4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9.4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9.4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9.4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9.4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9.4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9.4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9.4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9.4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9.4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9.4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9.4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9.4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9.4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9.4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9.4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9.4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9.4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9.4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9.4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9.4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9.4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9.4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9.4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9.4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9.4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9.4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9.4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9.4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9.4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9.4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9.4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9.4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9.4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9.4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9.4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9.4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9.4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9.4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9.4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9.4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9.4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9.4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9.4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9.4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9.4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9.4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9.4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9.4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9.4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9.4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9.4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9.4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9.4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9.4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9.4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9.4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9.4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9.4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9.4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9.4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9.4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9.4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9.4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9.4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9.4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9.4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9.4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9.4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9.4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9.4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9.4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9.4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9.4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9.4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9.4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9.4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9.4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9.4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9.4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9.4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9.4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9.4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9.4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9.4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9.4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9.4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9.4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9.4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9.4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9.4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9.4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9.4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9.4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9.4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9.4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9.4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9.4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9.4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9.4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9.4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9.4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9.4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9.4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9.4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9.4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9.4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9.4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9.4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9.4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9.4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9.4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9.4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9.4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9.4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9.4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9.4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9.4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9.4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9.4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9.4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9.4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9.4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9.4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9.4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9.4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9.4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9.4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9.4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9.4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9.4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9.4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9.4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9.4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9.4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9.4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9.4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9.4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9.4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9.4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9.4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9.4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9.4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9.4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9.4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9.4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9.4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9.4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9.4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9.4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9.4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9.4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9.4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9.4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9.4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9.4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9.4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9.4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9.4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9.4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9.4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9.4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9.4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9.4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9.4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9.4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9.4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9.4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9.4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9.4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9.4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9.4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9.4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9.4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9.4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9.4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9.4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9.4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9.4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9.4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9.4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9.4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9.4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9.4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9.4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9.4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9.4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9.4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9.4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9.4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9.4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9.4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9.4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9.4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9.4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9.4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9.4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9.4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9.4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9.4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9.4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9.4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9.4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9.4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9.4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9.4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9.4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9.4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9.4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9.4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9.4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9.4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9.4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9.4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9.4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9.4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9.4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9.4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9.4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9.4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9.4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9.4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9.4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9.4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9.4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9.4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9.4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9.4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9.4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9.4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9.4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9.4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9.4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9.4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9.4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9.4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9.4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9.4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9.4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9.4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9.4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9.4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9.4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9.4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9.4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9.4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9.4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9.4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9.4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9.4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9.4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9.4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9.4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9.4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9.4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9.4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9.4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9.4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9.4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9.4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9.4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9.4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9.4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9.4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9.4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9.4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9.4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9.4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9.4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9.4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9.4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9.4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9.4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9.4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9.4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9.4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9.4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9.4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9.4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9.4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9.4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9.4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9.4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9.4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9.4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9.4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9.4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9.4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9.4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9.4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9.4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9.4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9.4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9.4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9.4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9.4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9.4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9.4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9.4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9.4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9.4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9.4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9.4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9.4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9.4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9.4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9.4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9.4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9.4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9.4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9.4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9.4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9.4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9.4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9.4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9.4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9.4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9.4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9.4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9.4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9.4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9.4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9.4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9.4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9.4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9.4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9.4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9.4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9.4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9.4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9.4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9.4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9.4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9.4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9.4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9.4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9.4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9.4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9.4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9.4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9.4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9.4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9.4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9.4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9.4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9.4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9.4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9.4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9.4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9.4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9.4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9.4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9.4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9.4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9.4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9.4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9.4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9.4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9.4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9.4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9.4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9.4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9.4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9.4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9.4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9.4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9.4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9.4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9.4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9.4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9.4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9.4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9.4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9.4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9.4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9.4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9.4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9.4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9.4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9.4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9.4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9.4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9.4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9.4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9.4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9.4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9.4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9.4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9.4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9.4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9.4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9.4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9.4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9.4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9.4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9.4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9.4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9.4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9.4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9.4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9.4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9.4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9.4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9.4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9.4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9.4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9.4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9.4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9.4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9.4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9.4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9.4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9.4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9.4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9.4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9.4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9.4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9.4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9.4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9.4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9.4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9.4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9.4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9.4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9.4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9.4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9.4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9.4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9.4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9.4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9.4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9.4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9.4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9.4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9.4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9.4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9.4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9.4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9.4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9.4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9.4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9.4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9.4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9.4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9.4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9.4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9.4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9.4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9.4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9.4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9.4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9.4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9.4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9.4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9.4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9.4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9.4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9.4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9.4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9.4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9.4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9.4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9.4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9.4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9.4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9.4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9.4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9.4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9.4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9.4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9.4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9.4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9.4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9.4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</sheetData>
  <mergeCells count="351">
    <mergeCell ref="B198:N198"/>
    <mergeCell ref="B199:C199"/>
    <mergeCell ref="E199:K199"/>
    <mergeCell ref="B201:B202"/>
    <mergeCell ref="C201:C202"/>
    <mergeCell ref="D201:D202"/>
    <mergeCell ref="E201:E202"/>
    <mergeCell ref="F201:F202"/>
    <mergeCell ref="G201:J201"/>
    <mergeCell ref="K201:K202"/>
    <mergeCell ref="L201:L202"/>
    <mergeCell ref="M201:M202"/>
    <mergeCell ref="N201:N202"/>
    <mergeCell ref="B4:N4"/>
    <mergeCell ref="B5:C5"/>
    <mergeCell ref="E5:K5"/>
    <mergeCell ref="G7:J7"/>
    <mergeCell ref="B13:N13"/>
    <mergeCell ref="B14:C14"/>
    <mergeCell ref="E14:K14"/>
    <mergeCell ref="G16:J16"/>
    <mergeCell ref="B20:N20"/>
    <mergeCell ref="D7:D8"/>
    <mergeCell ref="D16:D17"/>
    <mergeCell ref="M7:M8"/>
    <mergeCell ref="M16:M17"/>
    <mergeCell ref="B21:C21"/>
    <mergeCell ref="E21:K21"/>
    <mergeCell ref="G23:J23"/>
    <mergeCell ref="B27:N27"/>
    <mergeCell ref="B28:C28"/>
    <mergeCell ref="E28:K28"/>
    <mergeCell ref="G30:J30"/>
    <mergeCell ref="B34:N34"/>
    <mergeCell ref="B35:C35"/>
    <mergeCell ref="E35:K35"/>
    <mergeCell ref="D23:D24"/>
    <mergeCell ref="D30:D31"/>
    <mergeCell ref="M23:M24"/>
    <mergeCell ref="M30:M31"/>
    <mergeCell ref="B42:N42"/>
    <mergeCell ref="B43:C43"/>
    <mergeCell ref="E43:K43"/>
    <mergeCell ref="G45:J45"/>
    <mergeCell ref="B49:N49"/>
    <mergeCell ref="B50:C50"/>
    <mergeCell ref="E50:K50"/>
    <mergeCell ref="G52:J52"/>
    <mergeCell ref="D37:D38"/>
    <mergeCell ref="D45:D46"/>
    <mergeCell ref="D52:D53"/>
    <mergeCell ref="M37:M38"/>
    <mergeCell ref="M45:M46"/>
    <mergeCell ref="M52:M53"/>
    <mergeCell ref="E73:K73"/>
    <mergeCell ref="G75:J75"/>
    <mergeCell ref="B80:N80"/>
    <mergeCell ref="B81:C81"/>
    <mergeCell ref="E81:K81"/>
    <mergeCell ref="G83:J83"/>
    <mergeCell ref="B88:N88"/>
    <mergeCell ref="B89:C89"/>
    <mergeCell ref="E89:K89"/>
    <mergeCell ref="D75:D76"/>
    <mergeCell ref="D83:D84"/>
    <mergeCell ref="M75:M76"/>
    <mergeCell ref="M83:M84"/>
    <mergeCell ref="G91:J91"/>
    <mergeCell ref="B96:N96"/>
    <mergeCell ref="B97:C97"/>
    <mergeCell ref="E97:K97"/>
    <mergeCell ref="G99:J99"/>
    <mergeCell ref="B104:N104"/>
    <mergeCell ref="B105:C105"/>
    <mergeCell ref="E105:K105"/>
    <mergeCell ref="G107:J107"/>
    <mergeCell ref="D91:D92"/>
    <mergeCell ref="D99:D100"/>
    <mergeCell ref="D107:D108"/>
    <mergeCell ref="M91:M92"/>
    <mergeCell ref="M99:M100"/>
    <mergeCell ref="M107:M108"/>
    <mergeCell ref="B91:B92"/>
    <mergeCell ref="B99:B100"/>
    <mergeCell ref="B107:B108"/>
    <mergeCell ref="G114:J114"/>
    <mergeCell ref="B118:N118"/>
    <mergeCell ref="B119:C119"/>
    <mergeCell ref="E119:K119"/>
    <mergeCell ref="G121:J121"/>
    <mergeCell ref="B125:N125"/>
    <mergeCell ref="D114:D115"/>
    <mergeCell ref="D121:D122"/>
    <mergeCell ref="M114:M115"/>
    <mergeCell ref="M121:M122"/>
    <mergeCell ref="B114:B115"/>
    <mergeCell ref="B121:B122"/>
    <mergeCell ref="B155:N155"/>
    <mergeCell ref="B156:C156"/>
    <mergeCell ref="E156:K156"/>
    <mergeCell ref="G158:J158"/>
    <mergeCell ref="B158:B159"/>
    <mergeCell ref="C158:C159"/>
    <mergeCell ref="E158:E159"/>
    <mergeCell ref="D143:D144"/>
    <mergeCell ref="D150:D151"/>
    <mergeCell ref="F158:F159"/>
    <mergeCell ref="K158:K159"/>
    <mergeCell ref="L158:L159"/>
    <mergeCell ref="M158:M159"/>
    <mergeCell ref="N143:N144"/>
    <mergeCell ref="N150:N151"/>
    <mergeCell ref="N158:N159"/>
    <mergeCell ref="M143:M144"/>
    <mergeCell ref="M150:M151"/>
    <mergeCell ref="D158:D159"/>
    <mergeCell ref="G186:J186"/>
    <mergeCell ref="B190:N190"/>
    <mergeCell ref="B191:C191"/>
    <mergeCell ref="E191:K191"/>
    <mergeCell ref="B179:B180"/>
    <mergeCell ref="B186:B187"/>
    <mergeCell ref="C179:C180"/>
    <mergeCell ref="C186:C187"/>
    <mergeCell ref="D179:D180"/>
    <mergeCell ref="D186:D187"/>
    <mergeCell ref="E179:E180"/>
    <mergeCell ref="E186:E187"/>
    <mergeCell ref="F179:F180"/>
    <mergeCell ref="F186:F187"/>
    <mergeCell ref="K179:K180"/>
    <mergeCell ref="K186:K187"/>
    <mergeCell ref="L179:L180"/>
    <mergeCell ref="L186:L187"/>
    <mergeCell ref="N179:N180"/>
    <mergeCell ref="N186:N187"/>
    <mergeCell ref="B165:B166"/>
    <mergeCell ref="B172:B173"/>
    <mergeCell ref="B177:C177"/>
    <mergeCell ref="E177:K177"/>
    <mergeCell ref="G179:J179"/>
    <mergeCell ref="B183:N183"/>
    <mergeCell ref="B184:C184"/>
    <mergeCell ref="E184:K184"/>
    <mergeCell ref="B162:N162"/>
    <mergeCell ref="B163:C163"/>
    <mergeCell ref="E163:K163"/>
    <mergeCell ref="G165:J165"/>
    <mergeCell ref="B169:N169"/>
    <mergeCell ref="B170:C170"/>
    <mergeCell ref="E170:K170"/>
    <mergeCell ref="G172:J172"/>
    <mergeCell ref="B176:N176"/>
    <mergeCell ref="N165:N166"/>
    <mergeCell ref="N172:N173"/>
    <mergeCell ref="C165:C166"/>
    <mergeCell ref="C172:C173"/>
    <mergeCell ref="E165:E166"/>
    <mergeCell ref="E172:E173"/>
    <mergeCell ref="F165:F166"/>
    <mergeCell ref="B128:B129"/>
    <mergeCell ref="B136:B137"/>
    <mergeCell ref="B143:B144"/>
    <mergeCell ref="B150:B151"/>
    <mergeCell ref="B126:C126"/>
    <mergeCell ref="B133:N133"/>
    <mergeCell ref="B134:C134"/>
    <mergeCell ref="E134:K134"/>
    <mergeCell ref="G136:J136"/>
    <mergeCell ref="B140:N140"/>
    <mergeCell ref="B141:C141"/>
    <mergeCell ref="E141:K141"/>
    <mergeCell ref="D128:D129"/>
    <mergeCell ref="D136:D137"/>
    <mergeCell ref="M128:M129"/>
    <mergeCell ref="M136:M137"/>
    <mergeCell ref="E126:K126"/>
    <mergeCell ref="G128:J128"/>
    <mergeCell ref="G143:J143"/>
    <mergeCell ref="B147:N147"/>
    <mergeCell ref="B148:C148"/>
    <mergeCell ref="E148:K148"/>
    <mergeCell ref="G150:J150"/>
    <mergeCell ref="B111:N111"/>
    <mergeCell ref="B112:C112"/>
    <mergeCell ref="E112:K112"/>
    <mergeCell ref="B23:B24"/>
    <mergeCell ref="B30:B31"/>
    <mergeCell ref="B37:B38"/>
    <mergeCell ref="B45:B46"/>
    <mergeCell ref="B52:B53"/>
    <mergeCell ref="B59:B60"/>
    <mergeCell ref="B67:B68"/>
    <mergeCell ref="B75:B76"/>
    <mergeCell ref="B83:B84"/>
    <mergeCell ref="B73:C73"/>
    <mergeCell ref="B56:N56"/>
    <mergeCell ref="B57:C57"/>
    <mergeCell ref="E57:K57"/>
    <mergeCell ref="G59:J59"/>
    <mergeCell ref="B64:N64"/>
    <mergeCell ref="B65:C65"/>
    <mergeCell ref="E65:K65"/>
    <mergeCell ref="G67:J67"/>
    <mergeCell ref="B72:N72"/>
    <mergeCell ref="D59:D60"/>
    <mergeCell ref="D67:D68"/>
    <mergeCell ref="M59:M60"/>
    <mergeCell ref="M67:M68"/>
    <mergeCell ref="G37:J37"/>
    <mergeCell ref="B193:B194"/>
    <mergeCell ref="C7:C8"/>
    <mergeCell ref="C16:C17"/>
    <mergeCell ref="C23:C24"/>
    <mergeCell ref="C30:C31"/>
    <mergeCell ref="C37:C38"/>
    <mergeCell ref="C45:C46"/>
    <mergeCell ref="C52:C53"/>
    <mergeCell ref="C59:C60"/>
    <mergeCell ref="C67:C68"/>
    <mergeCell ref="C75:C76"/>
    <mergeCell ref="C83:C84"/>
    <mergeCell ref="C91:C92"/>
    <mergeCell ref="C99:C100"/>
    <mergeCell ref="C107:C108"/>
    <mergeCell ref="C114:C115"/>
    <mergeCell ref="C121:C122"/>
    <mergeCell ref="C128:C129"/>
    <mergeCell ref="C136:C137"/>
    <mergeCell ref="C143:C144"/>
    <mergeCell ref="C150:C151"/>
    <mergeCell ref="C193:C194"/>
    <mergeCell ref="B7:B8"/>
    <mergeCell ref="B16:B17"/>
    <mergeCell ref="D193:D194"/>
    <mergeCell ref="E7:E8"/>
    <mergeCell ref="E16:E17"/>
    <mergeCell ref="E23:E24"/>
    <mergeCell ref="E30:E31"/>
    <mergeCell ref="E37:E38"/>
    <mergeCell ref="E45:E46"/>
    <mergeCell ref="E52:E53"/>
    <mergeCell ref="E59:E60"/>
    <mergeCell ref="E67:E68"/>
    <mergeCell ref="E75:E76"/>
    <mergeCell ref="E83:E84"/>
    <mergeCell ref="E91:E92"/>
    <mergeCell ref="E99:E100"/>
    <mergeCell ref="E107:E108"/>
    <mergeCell ref="E114:E115"/>
    <mergeCell ref="E121:E122"/>
    <mergeCell ref="E128:E129"/>
    <mergeCell ref="E136:E137"/>
    <mergeCell ref="E143:E144"/>
    <mergeCell ref="E150:E151"/>
    <mergeCell ref="D165:D166"/>
    <mergeCell ref="D172:D173"/>
    <mergeCell ref="E193:E194"/>
    <mergeCell ref="F7:F8"/>
    <mergeCell ref="F16:F17"/>
    <mergeCell ref="F23:F24"/>
    <mergeCell ref="F30:F31"/>
    <mergeCell ref="F37:F38"/>
    <mergeCell ref="F45:F46"/>
    <mergeCell ref="F52:F53"/>
    <mergeCell ref="F59:F60"/>
    <mergeCell ref="F67:F68"/>
    <mergeCell ref="F75:F76"/>
    <mergeCell ref="F83:F84"/>
    <mergeCell ref="F91:F92"/>
    <mergeCell ref="F99:F100"/>
    <mergeCell ref="F107:F108"/>
    <mergeCell ref="F114:F115"/>
    <mergeCell ref="F121:F122"/>
    <mergeCell ref="F128:F129"/>
    <mergeCell ref="F136:F137"/>
    <mergeCell ref="F143:F144"/>
    <mergeCell ref="F150:F151"/>
    <mergeCell ref="F172:F173"/>
    <mergeCell ref="F193:F194"/>
    <mergeCell ref="K7:K8"/>
    <mergeCell ref="K16:K17"/>
    <mergeCell ref="K23:K24"/>
    <mergeCell ref="K30:K31"/>
    <mergeCell ref="K37:K38"/>
    <mergeCell ref="K45:K46"/>
    <mergeCell ref="K52:K53"/>
    <mergeCell ref="K59:K60"/>
    <mergeCell ref="K67:K68"/>
    <mergeCell ref="K75:K76"/>
    <mergeCell ref="K83:K84"/>
    <mergeCell ref="K91:K92"/>
    <mergeCell ref="K99:K100"/>
    <mergeCell ref="K107:K108"/>
    <mergeCell ref="K114:K115"/>
    <mergeCell ref="K121:K122"/>
    <mergeCell ref="K128:K129"/>
    <mergeCell ref="K136:K137"/>
    <mergeCell ref="K143:K144"/>
    <mergeCell ref="K150:K151"/>
    <mergeCell ref="K165:K166"/>
    <mergeCell ref="K172:K173"/>
    <mergeCell ref="G193:J193"/>
    <mergeCell ref="K193:K194"/>
    <mergeCell ref="L7:L8"/>
    <mergeCell ref="L16:L17"/>
    <mergeCell ref="L23:L24"/>
    <mergeCell ref="L30:L31"/>
    <mergeCell ref="L37:L38"/>
    <mergeCell ref="L45:L46"/>
    <mergeCell ref="L52:L53"/>
    <mergeCell ref="L59:L60"/>
    <mergeCell ref="L67:L68"/>
    <mergeCell ref="L75:L76"/>
    <mergeCell ref="L83:L84"/>
    <mergeCell ref="L91:L92"/>
    <mergeCell ref="L99:L100"/>
    <mergeCell ref="L107:L108"/>
    <mergeCell ref="L114:L115"/>
    <mergeCell ref="L121:L122"/>
    <mergeCell ref="L128:L129"/>
    <mergeCell ref="L136:L137"/>
    <mergeCell ref="L143:L144"/>
    <mergeCell ref="L150:L151"/>
    <mergeCell ref="L193:L194"/>
    <mergeCell ref="L165:L166"/>
    <mergeCell ref="L172:L173"/>
    <mergeCell ref="N193:N194"/>
    <mergeCell ref="M179:M180"/>
    <mergeCell ref="M186:M187"/>
    <mergeCell ref="M193:M194"/>
    <mergeCell ref="N7:N8"/>
    <mergeCell ref="N16:N17"/>
    <mergeCell ref="N23:N24"/>
    <mergeCell ref="N30:N31"/>
    <mergeCell ref="N37:N38"/>
    <mergeCell ref="N45:N46"/>
    <mergeCell ref="N52:N53"/>
    <mergeCell ref="N59:N60"/>
    <mergeCell ref="N67:N68"/>
    <mergeCell ref="N75:N76"/>
    <mergeCell ref="N83:N84"/>
    <mergeCell ref="N91:N92"/>
    <mergeCell ref="N99:N100"/>
    <mergeCell ref="N107:N108"/>
    <mergeCell ref="N114:N115"/>
    <mergeCell ref="N121:N122"/>
    <mergeCell ref="N128:N129"/>
    <mergeCell ref="N136:N137"/>
    <mergeCell ref="M165:M166"/>
    <mergeCell ref="M172:M173"/>
  </mergeCells>
  <pageMargins left="0.25" right="0.25" top="0.75" bottom="0.75" header="0.3" footer="0.3"/>
  <pageSetup paperSize="9" scale="60" firstPageNumber="0" fitToHeight="0" orientation="landscape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Z770"/>
  <sheetViews>
    <sheetView topLeftCell="A199" zoomScale="85" zoomScaleNormal="85" workbookViewId="0">
      <selection activeCell="R217" sqref="R217"/>
    </sheetView>
  </sheetViews>
  <sheetFormatPr defaultColWidth="14.42578125" defaultRowHeight="29.45" customHeight="1" x14ac:dyDescent="0.25"/>
  <cols>
    <col min="1" max="2" width="5.7109375" style="1" customWidth="1"/>
    <col min="3" max="3" width="20.28515625" style="1" customWidth="1"/>
    <col min="4" max="4" width="20.42578125" style="1" customWidth="1"/>
    <col min="5" max="5" width="33" style="1" customWidth="1"/>
    <col min="6" max="6" width="14.5703125" style="1" customWidth="1"/>
    <col min="7" max="7" width="12" style="1" customWidth="1"/>
    <col min="8" max="8" width="15.5703125" style="1" customWidth="1"/>
    <col min="9" max="9" width="11.42578125" style="1" customWidth="1"/>
    <col min="10" max="10" width="15.28515625" style="1" customWidth="1"/>
    <col min="11" max="11" width="5.7109375" style="1" customWidth="1"/>
    <col min="12" max="12" width="12.5703125" style="1" customWidth="1"/>
    <col min="13" max="13" width="11.85546875" style="1" customWidth="1"/>
    <col min="14" max="14" width="14.5703125" style="1" customWidth="1"/>
    <col min="15" max="26" width="8.7109375" style="1" customWidth="1"/>
    <col min="27" max="16384" width="14.42578125" style="1"/>
  </cols>
  <sheetData>
    <row r="1" spans="1:26" ht="29.4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4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.45" customHeight="1" x14ac:dyDescent="0.3">
      <c r="A3" s="2"/>
      <c r="B3" s="458" t="s">
        <v>367</v>
      </c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45" customHeight="1" x14ac:dyDescent="0.3">
      <c r="A4" s="2"/>
      <c r="B4" s="459" t="s">
        <v>224</v>
      </c>
      <c r="C4" s="459"/>
      <c r="D4" s="3"/>
      <c r="E4" s="460" t="s">
        <v>368</v>
      </c>
      <c r="F4" s="460"/>
      <c r="G4" s="460"/>
      <c r="H4" s="460"/>
      <c r="I4" s="460"/>
      <c r="J4" s="460"/>
      <c r="K4" s="460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45" customHeight="1" x14ac:dyDescent="0.3">
      <c r="A5" s="2"/>
      <c r="B5" s="2"/>
      <c r="C5" s="2"/>
      <c r="D5" s="2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.45" customHeight="1" x14ac:dyDescent="0.3">
      <c r="A6" s="2"/>
      <c r="B6" s="470" t="s">
        <v>227</v>
      </c>
      <c r="C6" s="469" t="s">
        <v>228</v>
      </c>
      <c r="D6" s="469" t="s">
        <v>229</v>
      </c>
      <c r="E6" s="468" t="s">
        <v>230</v>
      </c>
      <c r="F6" s="468" t="s">
        <v>231</v>
      </c>
      <c r="G6" s="468" t="s">
        <v>232</v>
      </c>
      <c r="H6" s="468"/>
      <c r="I6" s="468"/>
      <c r="J6" s="468"/>
      <c r="K6" s="468" t="s">
        <v>9</v>
      </c>
      <c r="L6" s="468" t="s">
        <v>233</v>
      </c>
      <c r="M6" s="472" t="s">
        <v>234</v>
      </c>
      <c r="N6" s="464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.45" customHeight="1" x14ac:dyDescent="0.3">
      <c r="A7" s="2"/>
      <c r="B7" s="471"/>
      <c r="C7" s="453"/>
      <c r="D7" s="453"/>
      <c r="E7" s="454"/>
      <c r="F7" s="454"/>
      <c r="G7" s="7" t="s">
        <v>235</v>
      </c>
      <c r="H7" s="6" t="s">
        <v>236</v>
      </c>
      <c r="I7" s="7" t="s">
        <v>235</v>
      </c>
      <c r="J7" s="6" t="s">
        <v>236</v>
      </c>
      <c r="K7" s="454"/>
      <c r="L7" s="454"/>
      <c r="M7" s="454"/>
      <c r="N7" s="46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.45" customHeight="1" x14ac:dyDescent="0.3">
      <c r="A8" s="2"/>
      <c r="B8" s="5">
        <v>1</v>
      </c>
      <c r="C8" s="492" t="s">
        <v>369</v>
      </c>
      <c r="D8" s="8" t="s">
        <v>370</v>
      </c>
      <c r="E8" s="9" t="s">
        <v>371</v>
      </c>
      <c r="F8" s="6" t="s">
        <v>338</v>
      </c>
      <c r="G8" s="10">
        <v>44592</v>
      </c>
      <c r="H8" s="11">
        <v>34363</v>
      </c>
      <c r="I8" s="10">
        <v>45351</v>
      </c>
      <c r="J8" s="11">
        <v>34984</v>
      </c>
      <c r="K8" s="47">
        <v>1</v>
      </c>
      <c r="L8" s="48">
        <f>J8-H8</f>
        <v>621</v>
      </c>
      <c r="M8" s="49">
        <v>6.7377079768369201</v>
      </c>
      <c r="N8" s="50">
        <f>M8*L8*K8</f>
        <v>4184.116653615727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9.45" customHeight="1" x14ac:dyDescent="0.3">
      <c r="A9" s="2"/>
      <c r="B9" s="12">
        <v>3</v>
      </c>
      <c r="C9" s="493"/>
      <c r="D9" s="13" t="s">
        <v>372</v>
      </c>
      <c r="E9" s="14" t="s">
        <v>373</v>
      </c>
      <c r="F9" s="15" t="s">
        <v>338</v>
      </c>
      <c r="G9" s="16">
        <v>44592</v>
      </c>
      <c r="H9" s="17">
        <v>1186</v>
      </c>
      <c r="I9" s="16">
        <v>45351</v>
      </c>
      <c r="J9" s="17">
        <v>1212</v>
      </c>
      <c r="K9" s="51">
        <v>1</v>
      </c>
      <c r="L9" s="52">
        <f>J9-H9</f>
        <v>26</v>
      </c>
      <c r="M9" s="53">
        <f>M8</f>
        <v>6.7377079768369201</v>
      </c>
      <c r="N9" s="54">
        <f>M9*L9*K9</f>
        <v>175.18040739775992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.4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55" t="s">
        <v>241</v>
      </c>
      <c r="N10" s="56">
        <f>SUM(N8:N9)</f>
        <v>4359.2970610134871</v>
      </c>
      <c r="O10" s="57" t="s">
        <v>242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45" customHeight="1" x14ac:dyDescent="0.3">
      <c r="A11" s="2"/>
      <c r="B11" s="473" t="s">
        <v>374</v>
      </c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1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.45" customHeight="1" x14ac:dyDescent="0.3">
      <c r="A12" s="2"/>
      <c r="B12" s="476" t="s">
        <v>224</v>
      </c>
      <c r="C12" s="476"/>
      <c r="D12" s="18"/>
      <c r="E12" s="497" t="s">
        <v>368</v>
      </c>
      <c r="F12" s="497"/>
      <c r="G12" s="497"/>
      <c r="H12" s="497"/>
      <c r="I12" s="497"/>
      <c r="J12" s="497"/>
      <c r="K12" s="497"/>
      <c r="L12" s="18"/>
      <c r="M12" s="19"/>
      <c r="N12" s="19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.45" customHeight="1" x14ac:dyDescent="0.3">
      <c r="A13" s="2"/>
      <c r="B13" s="19"/>
      <c r="C13" s="19"/>
      <c r="D13" s="19"/>
      <c r="E13" s="20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9.45" customHeight="1" x14ac:dyDescent="0.3">
      <c r="A14" s="2"/>
      <c r="B14" s="479" t="s">
        <v>227</v>
      </c>
      <c r="C14" s="483" t="s">
        <v>228</v>
      </c>
      <c r="D14" s="483" t="s">
        <v>229</v>
      </c>
      <c r="E14" s="478" t="s">
        <v>230</v>
      </c>
      <c r="F14" s="478" t="s">
        <v>231</v>
      </c>
      <c r="G14" s="478" t="s">
        <v>232</v>
      </c>
      <c r="H14" s="478"/>
      <c r="I14" s="478"/>
      <c r="J14" s="478"/>
      <c r="K14" s="478" t="s">
        <v>9</v>
      </c>
      <c r="L14" s="478" t="s">
        <v>233</v>
      </c>
      <c r="M14" s="488" t="s">
        <v>234</v>
      </c>
      <c r="N14" s="474" t="s">
        <v>18</v>
      </c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9.45" customHeight="1" x14ac:dyDescent="0.3">
      <c r="A15" s="2"/>
      <c r="B15" s="481"/>
      <c r="C15" s="490"/>
      <c r="D15" s="490"/>
      <c r="E15" s="489"/>
      <c r="F15" s="489"/>
      <c r="G15" s="25" t="s">
        <v>235</v>
      </c>
      <c r="H15" s="24" t="s">
        <v>236</v>
      </c>
      <c r="I15" s="25" t="s">
        <v>235</v>
      </c>
      <c r="J15" s="24" t="s">
        <v>236</v>
      </c>
      <c r="K15" s="489"/>
      <c r="L15" s="489"/>
      <c r="M15" s="489"/>
      <c r="N15" s="498"/>
      <c r="O15" s="1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9.45" customHeight="1" x14ac:dyDescent="0.3">
      <c r="A16" s="2"/>
      <c r="B16" s="23">
        <v>1</v>
      </c>
      <c r="C16" s="494" t="s">
        <v>369</v>
      </c>
      <c r="D16" s="26" t="s">
        <v>370</v>
      </c>
      <c r="E16" s="27" t="s">
        <v>371</v>
      </c>
      <c r="F16" s="24" t="s">
        <v>338</v>
      </c>
      <c r="G16" s="28">
        <v>45351</v>
      </c>
      <c r="H16" s="29">
        <v>34984</v>
      </c>
      <c r="I16" s="28">
        <v>45382</v>
      </c>
      <c r="J16" s="29">
        <v>35672</v>
      </c>
      <c r="K16" s="58">
        <v>1</v>
      </c>
      <c r="L16" s="48">
        <f>J16-H16</f>
        <v>688</v>
      </c>
      <c r="M16" s="59">
        <v>6.4699320673976999</v>
      </c>
      <c r="N16" s="50">
        <f>M16*L16*K16</f>
        <v>4451.3132623696174</v>
      </c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9.45" customHeight="1" x14ac:dyDescent="0.3">
      <c r="A17" s="2"/>
      <c r="B17" s="30">
        <v>3</v>
      </c>
      <c r="C17" s="495"/>
      <c r="D17" s="31" t="s">
        <v>372</v>
      </c>
      <c r="E17" s="32" t="s">
        <v>373</v>
      </c>
      <c r="F17" s="33" t="s">
        <v>338</v>
      </c>
      <c r="G17" s="34">
        <v>45351</v>
      </c>
      <c r="H17" s="35">
        <v>79.52</v>
      </c>
      <c r="I17" s="28">
        <v>45382</v>
      </c>
      <c r="J17" s="35">
        <v>149</v>
      </c>
      <c r="K17" s="60">
        <v>40</v>
      </c>
      <c r="L17" s="52">
        <f>J17-H17</f>
        <v>69.48</v>
      </c>
      <c r="M17" s="53">
        <f>M16</f>
        <v>6.4699320673976999</v>
      </c>
      <c r="N17" s="54">
        <f>M17*L17*K17</f>
        <v>17981.235201711686</v>
      </c>
      <c r="O17" s="1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9.45" customHeight="1" x14ac:dyDescent="0.3">
      <c r="A18" s="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61" t="s">
        <v>241</v>
      </c>
      <c r="N18" s="62">
        <v>22432.548464081301</v>
      </c>
      <c r="O18" s="63" t="s">
        <v>242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9.4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9.45" customHeight="1" x14ac:dyDescent="0.3">
      <c r="A20" s="2"/>
      <c r="B20" s="473" t="s">
        <v>343</v>
      </c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9.45" customHeight="1" x14ac:dyDescent="0.3">
      <c r="A21" s="2"/>
      <c r="B21" s="476" t="s">
        <v>224</v>
      </c>
      <c r="C21" s="476"/>
      <c r="D21" s="18"/>
      <c r="E21" s="497" t="s">
        <v>368</v>
      </c>
      <c r="F21" s="497"/>
      <c r="G21" s="497"/>
      <c r="H21" s="497"/>
      <c r="I21" s="497"/>
      <c r="J21" s="497"/>
      <c r="K21" s="497"/>
      <c r="L21" s="18"/>
      <c r="M21" s="19"/>
      <c r="N21" s="19"/>
      <c r="O21" s="1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9.45" customHeight="1" x14ac:dyDescent="0.3">
      <c r="A22" s="2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9.45" customHeight="1" x14ac:dyDescent="0.3">
      <c r="A23" s="2"/>
      <c r="B23" s="479" t="s">
        <v>227</v>
      </c>
      <c r="C23" s="483" t="s">
        <v>228</v>
      </c>
      <c r="D23" s="483" t="s">
        <v>229</v>
      </c>
      <c r="E23" s="478" t="s">
        <v>230</v>
      </c>
      <c r="F23" s="478" t="s">
        <v>231</v>
      </c>
      <c r="G23" s="478" t="s">
        <v>232</v>
      </c>
      <c r="H23" s="478"/>
      <c r="I23" s="478"/>
      <c r="J23" s="478"/>
      <c r="K23" s="478" t="s">
        <v>9</v>
      </c>
      <c r="L23" s="478" t="s">
        <v>233</v>
      </c>
      <c r="M23" s="488" t="s">
        <v>234</v>
      </c>
      <c r="N23" s="474" t="s">
        <v>18</v>
      </c>
      <c r="O23" s="1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9.45" customHeight="1" x14ac:dyDescent="0.3">
      <c r="A24" s="2"/>
      <c r="B24" s="480"/>
      <c r="C24" s="484"/>
      <c r="D24" s="484"/>
      <c r="E24" s="487"/>
      <c r="F24" s="487"/>
      <c r="G24" s="37" t="s">
        <v>235</v>
      </c>
      <c r="H24" s="36" t="s">
        <v>236</v>
      </c>
      <c r="I24" s="37" t="s">
        <v>235</v>
      </c>
      <c r="J24" s="36" t="s">
        <v>236</v>
      </c>
      <c r="K24" s="487"/>
      <c r="L24" s="487"/>
      <c r="M24" s="487"/>
      <c r="N24" s="475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9.45" customHeight="1" x14ac:dyDescent="0.3">
      <c r="A25" s="2"/>
      <c r="B25" s="21">
        <v>1</v>
      </c>
      <c r="C25" s="496" t="s">
        <v>369</v>
      </c>
      <c r="D25" s="38" t="s">
        <v>370</v>
      </c>
      <c r="E25" s="39" t="s">
        <v>371</v>
      </c>
      <c r="F25" s="22" t="s">
        <v>338</v>
      </c>
      <c r="G25" s="40">
        <v>45382</v>
      </c>
      <c r="H25" s="41">
        <v>35672</v>
      </c>
      <c r="I25" s="64">
        <v>45412</v>
      </c>
      <c r="J25" s="65">
        <v>36216</v>
      </c>
      <c r="K25" s="66">
        <v>1</v>
      </c>
      <c r="L25" s="48">
        <f>J25-H25</f>
        <v>544</v>
      </c>
      <c r="M25" s="49">
        <v>6.7377079768369201</v>
      </c>
      <c r="N25" s="50">
        <f>M25*L25*K25</f>
        <v>3665.3131393992844</v>
      </c>
      <c r="O25" s="19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9.45" customHeight="1" x14ac:dyDescent="0.3">
      <c r="A26" s="2"/>
      <c r="B26" s="30">
        <v>3</v>
      </c>
      <c r="C26" s="495"/>
      <c r="D26" s="31" t="s">
        <v>372</v>
      </c>
      <c r="E26" s="32" t="s">
        <v>373</v>
      </c>
      <c r="F26" s="33" t="s">
        <v>338</v>
      </c>
      <c r="G26" s="42">
        <v>45382</v>
      </c>
      <c r="H26" s="43">
        <v>149</v>
      </c>
      <c r="I26" s="34">
        <v>45412</v>
      </c>
      <c r="J26" s="35">
        <v>195.19</v>
      </c>
      <c r="K26" s="60">
        <v>40</v>
      </c>
      <c r="L26" s="52">
        <f>J26-H26</f>
        <v>46.19</v>
      </c>
      <c r="M26" s="53">
        <f>M25</f>
        <v>6.7377079768369201</v>
      </c>
      <c r="N26" s="54">
        <f>M26*L26*K26</f>
        <v>12448.589258003893</v>
      </c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9.45" customHeight="1" x14ac:dyDescent="0.3">
      <c r="A27" s="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61" t="s">
        <v>241</v>
      </c>
      <c r="N27" s="62">
        <v>22432.548464081301</v>
      </c>
      <c r="O27" s="63" t="s">
        <v>242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9.45" customHeight="1" x14ac:dyDescent="0.3">
      <c r="A28" s="2"/>
      <c r="B28" s="473" t="s">
        <v>375</v>
      </c>
      <c r="C28" s="473"/>
      <c r="D28" s="473"/>
      <c r="E28" s="473"/>
      <c r="F28" s="473"/>
      <c r="G28" s="473"/>
      <c r="H28" s="473"/>
      <c r="I28" s="473"/>
      <c r="J28" s="473"/>
      <c r="K28" s="473"/>
      <c r="L28" s="473"/>
      <c r="M28" s="473"/>
      <c r="N28" s="47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9.45" customHeight="1" x14ac:dyDescent="0.3">
      <c r="A29" s="2"/>
      <c r="B29" s="476" t="s">
        <v>224</v>
      </c>
      <c r="C29" s="476"/>
      <c r="D29" s="18"/>
      <c r="E29" s="497" t="s">
        <v>368</v>
      </c>
      <c r="F29" s="497"/>
      <c r="G29" s="497"/>
      <c r="H29" s="497"/>
      <c r="I29" s="497"/>
      <c r="J29" s="497"/>
      <c r="K29" s="497"/>
      <c r="L29" s="18"/>
      <c r="M29" s="19"/>
      <c r="N29" s="1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9.45" customHeight="1" x14ac:dyDescent="0.3">
      <c r="A30" s="2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9"/>
      <c r="N30" s="1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9.45" customHeight="1" x14ac:dyDescent="0.3">
      <c r="A31" s="2"/>
      <c r="B31" s="479" t="s">
        <v>227</v>
      </c>
      <c r="C31" s="483" t="s">
        <v>228</v>
      </c>
      <c r="D31" s="483" t="s">
        <v>229</v>
      </c>
      <c r="E31" s="478" t="s">
        <v>230</v>
      </c>
      <c r="F31" s="478" t="s">
        <v>231</v>
      </c>
      <c r="G31" s="478" t="s">
        <v>232</v>
      </c>
      <c r="H31" s="478"/>
      <c r="I31" s="478"/>
      <c r="J31" s="478"/>
      <c r="K31" s="478" t="s">
        <v>9</v>
      </c>
      <c r="L31" s="478" t="s">
        <v>233</v>
      </c>
      <c r="M31" s="488" t="s">
        <v>234</v>
      </c>
      <c r="N31" s="474" t="s">
        <v>18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9.45" customHeight="1" x14ac:dyDescent="0.3">
      <c r="A32" s="2"/>
      <c r="B32" s="480"/>
      <c r="C32" s="484"/>
      <c r="D32" s="484"/>
      <c r="E32" s="487"/>
      <c r="F32" s="487"/>
      <c r="G32" s="37" t="s">
        <v>235</v>
      </c>
      <c r="H32" s="36" t="s">
        <v>236</v>
      </c>
      <c r="I32" s="37" t="s">
        <v>235</v>
      </c>
      <c r="J32" s="36" t="s">
        <v>236</v>
      </c>
      <c r="K32" s="487"/>
      <c r="L32" s="487"/>
      <c r="M32" s="487"/>
      <c r="N32" s="47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9.45" customHeight="1" x14ac:dyDescent="0.3">
      <c r="A33" s="2"/>
      <c r="B33" s="21">
        <v>1</v>
      </c>
      <c r="C33" s="496" t="s">
        <v>369</v>
      </c>
      <c r="D33" s="38" t="s">
        <v>370</v>
      </c>
      <c r="E33" s="39" t="s">
        <v>371</v>
      </c>
      <c r="F33" s="22" t="s">
        <v>338</v>
      </c>
      <c r="G33" s="40">
        <v>45412</v>
      </c>
      <c r="H33" s="41">
        <v>36216</v>
      </c>
      <c r="I33" s="64">
        <v>45442</v>
      </c>
      <c r="J33" s="65">
        <v>36694</v>
      </c>
      <c r="K33" s="66">
        <v>1</v>
      </c>
      <c r="L33" s="48">
        <f>J33-H33</f>
        <v>478</v>
      </c>
      <c r="M33" s="49">
        <v>7.6846319347319296</v>
      </c>
      <c r="N33" s="50">
        <f>M33*L33*K33</f>
        <v>3673.2540648018626</v>
      </c>
      <c r="O33" s="2"/>
      <c r="P33" s="2"/>
      <c r="Q33" s="2">
        <v>36980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29.45" customHeight="1" x14ac:dyDescent="0.3">
      <c r="A34" s="2"/>
      <c r="B34" s="30">
        <v>3</v>
      </c>
      <c r="C34" s="495"/>
      <c r="D34" s="31" t="s">
        <v>372</v>
      </c>
      <c r="E34" s="32" t="s">
        <v>373</v>
      </c>
      <c r="F34" s="33" t="s">
        <v>338</v>
      </c>
      <c r="G34" s="42">
        <v>45412</v>
      </c>
      <c r="H34" s="43">
        <v>195.19</v>
      </c>
      <c r="I34" s="34">
        <v>45442</v>
      </c>
      <c r="J34" s="35">
        <v>256.69</v>
      </c>
      <c r="K34" s="60">
        <v>40</v>
      </c>
      <c r="L34" s="52">
        <f>J34-H34</f>
        <v>61.5</v>
      </c>
      <c r="M34" s="53">
        <f>M33</f>
        <v>7.6846319347319296</v>
      </c>
      <c r="N34" s="54">
        <f>M34*L34*K34</f>
        <v>18904.194559440548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9.45" customHeight="1" x14ac:dyDescent="0.3">
      <c r="A35" s="2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61" t="s">
        <v>241</v>
      </c>
      <c r="N35" s="62">
        <v>22432.548464081301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9.4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x14ac:dyDescent="0.3">
      <c r="A37" s="2"/>
      <c r="B37" s="473" t="s">
        <v>376</v>
      </c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9.45" customHeight="1" x14ac:dyDescent="0.3">
      <c r="A38" s="2"/>
      <c r="B38" s="476" t="s">
        <v>224</v>
      </c>
      <c r="C38" s="476"/>
      <c r="D38" s="18"/>
      <c r="E38" s="497" t="s">
        <v>377</v>
      </c>
      <c r="F38" s="497"/>
      <c r="G38" s="497"/>
      <c r="H38" s="497"/>
      <c r="I38" s="497"/>
      <c r="J38" s="497"/>
      <c r="K38" s="497"/>
      <c r="L38" s="18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9.45" customHeight="1" x14ac:dyDescent="0.3">
      <c r="A39" s="2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9.45" customHeight="1" x14ac:dyDescent="0.3">
      <c r="A40" s="2"/>
      <c r="B40" s="479" t="s">
        <v>227</v>
      </c>
      <c r="C40" s="483" t="s">
        <v>228</v>
      </c>
      <c r="D40" s="483" t="s">
        <v>229</v>
      </c>
      <c r="E40" s="478" t="s">
        <v>230</v>
      </c>
      <c r="F40" s="478" t="s">
        <v>231</v>
      </c>
      <c r="G40" s="478" t="s">
        <v>232</v>
      </c>
      <c r="H40" s="478"/>
      <c r="I40" s="478"/>
      <c r="J40" s="478"/>
      <c r="K40" s="478" t="s">
        <v>9</v>
      </c>
      <c r="L40" s="478" t="s">
        <v>233</v>
      </c>
      <c r="M40" s="488" t="s">
        <v>234</v>
      </c>
      <c r="N40" s="474" t="s">
        <v>18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9.45" customHeight="1" x14ac:dyDescent="0.3">
      <c r="A41" s="2"/>
      <c r="B41" s="480"/>
      <c r="C41" s="484"/>
      <c r="D41" s="484"/>
      <c r="E41" s="487"/>
      <c r="F41" s="487"/>
      <c r="G41" s="37" t="s">
        <v>235</v>
      </c>
      <c r="H41" s="36" t="s">
        <v>236</v>
      </c>
      <c r="I41" s="37" t="s">
        <v>235</v>
      </c>
      <c r="J41" s="36" t="s">
        <v>236</v>
      </c>
      <c r="K41" s="487"/>
      <c r="L41" s="487"/>
      <c r="M41" s="487"/>
      <c r="N41" s="47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9.45" customHeight="1" x14ac:dyDescent="0.3">
      <c r="A42" s="2"/>
      <c r="B42" s="481">
        <v>1</v>
      </c>
      <c r="C42" s="485" t="s">
        <v>369</v>
      </c>
      <c r="D42" s="26" t="s">
        <v>370</v>
      </c>
      <c r="E42" s="27" t="s">
        <v>371</v>
      </c>
      <c r="F42" s="24" t="s">
        <v>338</v>
      </c>
      <c r="G42" s="28">
        <v>45442</v>
      </c>
      <c r="H42" s="29">
        <v>36694</v>
      </c>
      <c r="I42" s="28">
        <v>45473</v>
      </c>
      <c r="J42" s="29">
        <v>36980</v>
      </c>
      <c r="K42" s="58">
        <v>1</v>
      </c>
      <c r="L42" s="48">
        <f>J42-H42</f>
        <v>286</v>
      </c>
      <c r="M42" s="49">
        <v>8.6037358892438807</v>
      </c>
      <c r="N42" s="50">
        <f>M42*L42*K42</f>
        <v>2460.66846432375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9.45" customHeight="1" x14ac:dyDescent="0.3">
      <c r="A43" s="2"/>
      <c r="B43" s="481"/>
      <c r="C43" s="485"/>
      <c r="D43" s="490" t="s">
        <v>372</v>
      </c>
      <c r="E43" s="27" t="s">
        <v>373</v>
      </c>
      <c r="F43" s="24" t="s">
        <v>338</v>
      </c>
      <c r="G43" s="28">
        <v>45442</v>
      </c>
      <c r="H43" s="44">
        <v>256.69</v>
      </c>
      <c r="I43" s="28">
        <v>45473</v>
      </c>
      <c r="J43" s="44">
        <v>325.22000000000003</v>
      </c>
      <c r="K43" s="67">
        <v>40</v>
      </c>
      <c r="L43" s="48">
        <f>J43-H43</f>
        <v>68.53000000000003</v>
      </c>
      <c r="M43" s="49">
        <f>M42</f>
        <v>8.6037358892438807</v>
      </c>
      <c r="N43" s="50">
        <f>M43*L43*K43</f>
        <v>23584.560819595335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9.45" customHeight="1" x14ac:dyDescent="0.3">
      <c r="A44" s="2"/>
      <c r="B44" s="482"/>
      <c r="C44" s="486"/>
      <c r="D44" s="491"/>
      <c r="E44" s="32"/>
      <c r="F44" s="33" t="s">
        <v>191</v>
      </c>
      <c r="G44" s="34">
        <v>45443</v>
      </c>
      <c r="H44" s="35">
        <v>1298</v>
      </c>
      <c r="I44" s="34">
        <v>45473</v>
      </c>
      <c r="J44" s="35">
        <v>1323</v>
      </c>
      <c r="K44" s="60"/>
      <c r="L44" s="52">
        <f>J44-H44</f>
        <v>25</v>
      </c>
      <c r="M44" s="68"/>
      <c r="N44" s="5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9.45" customHeight="1" x14ac:dyDescent="0.3">
      <c r="A45" s="2"/>
      <c r="B45" s="45"/>
      <c r="C45" s="46"/>
      <c r="D45" s="45"/>
      <c r="E45" s="19"/>
      <c r="F45" s="19"/>
      <c r="G45" s="19"/>
      <c r="H45" s="19"/>
      <c r="I45" s="19"/>
      <c r="J45" s="19"/>
      <c r="K45" s="19"/>
      <c r="L45" s="19"/>
      <c r="M45" s="61" t="s">
        <v>241</v>
      </c>
      <c r="N45" s="62">
        <f>SUM(N42:N44)</f>
        <v>26045.229283919085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9.4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9.45" customHeight="1" x14ac:dyDescent="0.3">
      <c r="A47" s="2"/>
      <c r="B47" s="473" t="s">
        <v>378</v>
      </c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9.45" customHeight="1" x14ac:dyDescent="0.3">
      <c r="A48" s="2"/>
      <c r="B48" s="476" t="s">
        <v>224</v>
      </c>
      <c r="C48" s="476"/>
      <c r="D48" s="18"/>
      <c r="E48" s="497" t="s">
        <v>377</v>
      </c>
      <c r="F48" s="497"/>
      <c r="G48" s="497"/>
      <c r="H48" s="497"/>
      <c r="I48" s="497"/>
      <c r="J48" s="497"/>
      <c r="K48" s="497"/>
      <c r="L48" s="18"/>
      <c r="M48" s="19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9.45" customHeight="1" x14ac:dyDescent="0.3">
      <c r="A49" s="2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9.45" customHeight="1" x14ac:dyDescent="0.3">
      <c r="A50" s="2"/>
      <c r="B50" s="479" t="s">
        <v>227</v>
      </c>
      <c r="C50" s="483" t="s">
        <v>228</v>
      </c>
      <c r="D50" s="483" t="s">
        <v>229</v>
      </c>
      <c r="E50" s="478" t="s">
        <v>230</v>
      </c>
      <c r="F50" s="478" t="s">
        <v>231</v>
      </c>
      <c r="G50" s="478" t="s">
        <v>232</v>
      </c>
      <c r="H50" s="478"/>
      <c r="I50" s="478"/>
      <c r="J50" s="478"/>
      <c r="K50" s="478" t="s">
        <v>9</v>
      </c>
      <c r="L50" s="478" t="s">
        <v>233</v>
      </c>
      <c r="M50" s="488" t="s">
        <v>234</v>
      </c>
      <c r="N50" s="474" t="s">
        <v>18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9.45" customHeight="1" x14ac:dyDescent="0.3">
      <c r="A51" s="2"/>
      <c r="B51" s="480"/>
      <c r="C51" s="484"/>
      <c r="D51" s="484"/>
      <c r="E51" s="487"/>
      <c r="F51" s="487"/>
      <c r="G51" s="37" t="s">
        <v>235</v>
      </c>
      <c r="H51" s="36" t="s">
        <v>236</v>
      </c>
      <c r="I51" s="37" t="s">
        <v>235</v>
      </c>
      <c r="J51" s="36" t="s">
        <v>236</v>
      </c>
      <c r="K51" s="487"/>
      <c r="L51" s="487"/>
      <c r="M51" s="487"/>
      <c r="N51" s="475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9.45" customHeight="1" x14ac:dyDescent="0.3">
      <c r="A52" s="2"/>
      <c r="B52" s="481">
        <v>1</v>
      </c>
      <c r="C52" s="485" t="s">
        <v>369</v>
      </c>
      <c r="D52" s="26" t="s">
        <v>370</v>
      </c>
      <c r="E52" s="27" t="s">
        <v>371</v>
      </c>
      <c r="F52" s="24" t="s">
        <v>338</v>
      </c>
      <c r="G52" s="28">
        <v>45473</v>
      </c>
      <c r="H52" s="29">
        <v>36980</v>
      </c>
      <c r="I52" s="28">
        <v>45504</v>
      </c>
      <c r="J52" s="29">
        <v>37254</v>
      </c>
      <c r="K52" s="58">
        <v>1</v>
      </c>
      <c r="L52" s="48">
        <f>J52-H52</f>
        <v>274</v>
      </c>
      <c r="M52" s="49">
        <v>9.06</v>
      </c>
      <c r="N52" s="50">
        <f>M52*L52*K52</f>
        <v>2482.44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9.45" customHeight="1" x14ac:dyDescent="0.3">
      <c r="A53" s="2"/>
      <c r="B53" s="481"/>
      <c r="C53" s="485"/>
      <c r="D53" s="490" t="s">
        <v>372</v>
      </c>
      <c r="E53" s="27" t="s">
        <v>373</v>
      </c>
      <c r="F53" s="24" t="s">
        <v>338</v>
      </c>
      <c r="G53" s="28">
        <v>45473</v>
      </c>
      <c r="H53" s="44">
        <v>325.22000000000003</v>
      </c>
      <c r="I53" s="28">
        <v>45504</v>
      </c>
      <c r="J53" s="44">
        <v>398.63</v>
      </c>
      <c r="K53" s="67">
        <v>40</v>
      </c>
      <c r="L53" s="48">
        <f>J53-H53</f>
        <v>73.409999999999968</v>
      </c>
      <c r="M53" s="49">
        <f>M52</f>
        <v>9.06</v>
      </c>
      <c r="N53" s="50">
        <f>M53*L53*K53</f>
        <v>26603.783999999992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9.45" customHeight="1" x14ac:dyDescent="0.3">
      <c r="A54" s="2"/>
      <c r="B54" s="482"/>
      <c r="C54" s="486"/>
      <c r="D54" s="491"/>
      <c r="E54" s="32"/>
      <c r="F54" s="33" t="s">
        <v>191</v>
      </c>
      <c r="G54" s="34">
        <v>45473</v>
      </c>
      <c r="H54" s="35">
        <v>1323</v>
      </c>
      <c r="I54" s="34">
        <v>45504</v>
      </c>
      <c r="J54" s="35">
        <v>1348</v>
      </c>
      <c r="K54" s="60"/>
      <c r="L54" s="52">
        <f>J54-H54</f>
        <v>25</v>
      </c>
      <c r="M54" s="68"/>
      <c r="N54" s="5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9.45" customHeight="1" x14ac:dyDescent="0.3">
      <c r="A55" s="2"/>
      <c r="B55" s="45"/>
      <c r="C55" s="46"/>
      <c r="D55" s="45"/>
      <c r="E55" s="19"/>
      <c r="F55" s="19"/>
      <c r="G55" s="19"/>
      <c r="H55" s="19"/>
      <c r="I55" s="19"/>
      <c r="J55" s="19"/>
      <c r="K55" s="19"/>
      <c r="L55" s="19"/>
      <c r="M55" s="61" t="s">
        <v>241</v>
      </c>
      <c r="N55" s="62">
        <f>SUM(N52:N54)</f>
        <v>29086.223999999991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9.4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3">
      <c r="A57" s="2"/>
      <c r="B57" s="473" t="s">
        <v>379</v>
      </c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x14ac:dyDescent="0.3">
      <c r="A58" s="2"/>
      <c r="B58" s="476" t="s">
        <v>224</v>
      </c>
      <c r="C58" s="476"/>
      <c r="D58" s="18"/>
      <c r="E58" s="477" t="s">
        <v>377</v>
      </c>
      <c r="F58" s="477"/>
      <c r="G58" s="477"/>
      <c r="H58" s="477"/>
      <c r="I58" s="477"/>
      <c r="J58" s="477"/>
      <c r="K58" s="477"/>
      <c r="L58" s="18"/>
      <c r="M58" s="19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x14ac:dyDescent="0.3">
      <c r="A59" s="2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9"/>
      <c r="N59" s="1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9.45" customHeight="1" x14ac:dyDescent="0.3">
      <c r="A60" s="2"/>
      <c r="B60" s="479" t="s">
        <v>227</v>
      </c>
      <c r="C60" s="483" t="s">
        <v>228</v>
      </c>
      <c r="D60" s="483" t="s">
        <v>229</v>
      </c>
      <c r="E60" s="478" t="s">
        <v>230</v>
      </c>
      <c r="F60" s="478" t="s">
        <v>231</v>
      </c>
      <c r="G60" s="478" t="s">
        <v>232</v>
      </c>
      <c r="H60" s="478"/>
      <c r="I60" s="478"/>
      <c r="J60" s="478"/>
      <c r="K60" s="478" t="s">
        <v>9</v>
      </c>
      <c r="L60" s="478" t="s">
        <v>233</v>
      </c>
      <c r="M60" s="488" t="s">
        <v>234</v>
      </c>
      <c r="N60" s="474" t="s">
        <v>18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9.45" customHeight="1" x14ac:dyDescent="0.3">
      <c r="A61" s="2"/>
      <c r="B61" s="480"/>
      <c r="C61" s="484"/>
      <c r="D61" s="484"/>
      <c r="E61" s="487"/>
      <c r="F61" s="487"/>
      <c r="G61" s="37" t="s">
        <v>235</v>
      </c>
      <c r="H61" s="36" t="s">
        <v>236</v>
      </c>
      <c r="I61" s="37" t="s">
        <v>235</v>
      </c>
      <c r="J61" s="36" t="s">
        <v>236</v>
      </c>
      <c r="K61" s="487"/>
      <c r="L61" s="487"/>
      <c r="M61" s="487"/>
      <c r="N61" s="47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9.45" customHeight="1" x14ac:dyDescent="0.3">
      <c r="A62" s="2"/>
      <c r="B62" s="481">
        <v>1</v>
      </c>
      <c r="C62" s="485" t="s">
        <v>369</v>
      </c>
      <c r="D62" s="26" t="s">
        <v>370</v>
      </c>
      <c r="E62" s="27" t="s">
        <v>371</v>
      </c>
      <c r="F62" s="24" t="s">
        <v>338</v>
      </c>
      <c r="G62" s="28">
        <v>45504</v>
      </c>
      <c r="H62" s="29">
        <v>37254</v>
      </c>
      <c r="I62" s="28">
        <v>45535</v>
      </c>
      <c r="J62" s="29">
        <v>37612</v>
      </c>
      <c r="K62" s="58">
        <v>1</v>
      </c>
      <c r="L62" s="48">
        <f>J62-H62</f>
        <v>358</v>
      </c>
      <c r="M62" s="49">
        <v>9.1616599999999995</v>
      </c>
      <c r="N62" s="50">
        <f>M62*L62*K62</f>
        <v>3279.87428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9.45" customHeight="1" x14ac:dyDescent="0.3">
      <c r="A63" s="2"/>
      <c r="B63" s="481"/>
      <c r="C63" s="485"/>
      <c r="D63" s="490" t="s">
        <v>372</v>
      </c>
      <c r="E63" s="27" t="s">
        <v>373</v>
      </c>
      <c r="F63" s="24" t="s">
        <v>338</v>
      </c>
      <c r="G63" s="28">
        <v>45504</v>
      </c>
      <c r="H63" s="44">
        <v>398.63</v>
      </c>
      <c r="I63" s="28">
        <v>45535</v>
      </c>
      <c r="J63" s="44">
        <v>456.34</v>
      </c>
      <c r="K63" s="67">
        <v>40</v>
      </c>
      <c r="L63" s="48">
        <f>J63-H63</f>
        <v>57.70999999999998</v>
      </c>
      <c r="M63" s="49">
        <f>M62</f>
        <v>9.1616599999999995</v>
      </c>
      <c r="N63" s="50">
        <f>M63*L63*K63</f>
        <v>21148.77594399999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9.45" customHeight="1" x14ac:dyDescent="0.3">
      <c r="A64" s="2"/>
      <c r="B64" s="482"/>
      <c r="C64" s="486"/>
      <c r="D64" s="491"/>
      <c r="E64" s="32"/>
      <c r="F64" s="33" t="s">
        <v>191</v>
      </c>
      <c r="G64" s="34">
        <v>45504</v>
      </c>
      <c r="H64" s="35">
        <v>1348</v>
      </c>
      <c r="I64" s="28">
        <v>45535</v>
      </c>
      <c r="J64" s="35">
        <v>1376</v>
      </c>
      <c r="K64" s="60"/>
      <c r="L64" s="52">
        <f>J64-H64</f>
        <v>28</v>
      </c>
      <c r="M64" s="68"/>
      <c r="N64" s="5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9.45" customHeight="1" x14ac:dyDescent="0.3">
      <c r="A65" s="2"/>
      <c r="B65" s="45"/>
      <c r="C65" s="46"/>
      <c r="D65" s="45"/>
      <c r="E65" s="19"/>
      <c r="F65" s="19"/>
      <c r="G65" s="19"/>
      <c r="H65" s="19"/>
      <c r="I65" s="19"/>
      <c r="J65" s="19"/>
      <c r="K65" s="19"/>
      <c r="L65" s="19"/>
      <c r="M65" s="61" t="s">
        <v>241</v>
      </c>
      <c r="N65" s="62">
        <f>SUM(N62:N64)</f>
        <v>24428.65022399999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9.4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3">
      <c r="A67" s="2"/>
      <c r="B67" s="473" t="s">
        <v>380</v>
      </c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x14ac:dyDescent="0.3">
      <c r="A68" s="2"/>
      <c r="B68" s="476" t="s">
        <v>224</v>
      </c>
      <c r="C68" s="476"/>
      <c r="D68" s="18"/>
      <c r="E68" s="477" t="s">
        <v>377</v>
      </c>
      <c r="F68" s="477"/>
      <c r="G68" s="477"/>
      <c r="H68" s="477"/>
      <c r="I68" s="477"/>
      <c r="J68" s="477"/>
      <c r="K68" s="477"/>
      <c r="L68" s="18"/>
      <c r="M68" s="19"/>
      <c r="N68" s="1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x14ac:dyDescent="0.3">
      <c r="A69" s="2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9.45" customHeight="1" x14ac:dyDescent="0.3">
      <c r="A70" s="2"/>
      <c r="B70" s="479" t="s">
        <v>227</v>
      </c>
      <c r="C70" s="483" t="s">
        <v>228</v>
      </c>
      <c r="D70" s="483" t="s">
        <v>229</v>
      </c>
      <c r="E70" s="478" t="s">
        <v>230</v>
      </c>
      <c r="F70" s="478" t="s">
        <v>231</v>
      </c>
      <c r="G70" s="478" t="s">
        <v>232</v>
      </c>
      <c r="H70" s="478"/>
      <c r="I70" s="478"/>
      <c r="J70" s="478"/>
      <c r="K70" s="478" t="s">
        <v>9</v>
      </c>
      <c r="L70" s="478" t="s">
        <v>233</v>
      </c>
      <c r="M70" s="488" t="s">
        <v>234</v>
      </c>
      <c r="N70" s="474" t="s">
        <v>18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9.45" customHeight="1" x14ac:dyDescent="0.3">
      <c r="A71" s="2"/>
      <c r="B71" s="480"/>
      <c r="C71" s="484"/>
      <c r="D71" s="484"/>
      <c r="E71" s="487"/>
      <c r="F71" s="487"/>
      <c r="G71" s="37" t="s">
        <v>235</v>
      </c>
      <c r="H71" s="36" t="s">
        <v>236</v>
      </c>
      <c r="I71" s="37" t="s">
        <v>235</v>
      </c>
      <c r="J71" s="36" t="s">
        <v>236</v>
      </c>
      <c r="K71" s="487"/>
      <c r="L71" s="487"/>
      <c r="M71" s="487"/>
      <c r="N71" s="47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9.45" customHeight="1" x14ac:dyDescent="0.3">
      <c r="A72" s="2"/>
      <c r="B72" s="481">
        <v>1</v>
      </c>
      <c r="C72" s="485" t="s">
        <v>369</v>
      </c>
      <c r="D72" s="26" t="s">
        <v>370</v>
      </c>
      <c r="E72" s="27" t="s">
        <v>371</v>
      </c>
      <c r="F72" s="24" t="s">
        <v>338</v>
      </c>
      <c r="G72" s="28">
        <v>45535</v>
      </c>
      <c r="H72" s="29">
        <v>37612</v>
      </c>
      <c r="I72" s="28">
        <v>45565</v>
      </c>
      <c r="J72" s="29">
        <v>37929</v>
      </c>
      <c r="K72" s="58">
        <v>1</v>
      </c>
      <c r="L72" s="48">
        <f>J72-H72</f>
        <v>317</v>
      </c>
      <c r="M72" s="49">
        <v>9.457668</v>
      </c>
      <c r="N72" s="50">
        <f>M72*L72*K72</f>
        <v>2998.0807559999998</v>
      </c>
      <c r="O72" s="2"/>
      <c r="P72" s="2"/>
      <c r="Q72" s="2"/>
      <c r="R72" s="2">
        <f>1.2*7.88139</f>
        <v>9.457668</v>
      </c>
      <c r="S72" s="2"/>
      <c r="T72" s="2"/>
      <c r="U72" s="2"/>
      <c r="V72" s="2"/>
      <c r="W72" s="2"/>
      <c r="X72" s="2"/>
      <c r="Y72" s="2"/>
      <c r="Z72" s="2"/>
    </row>
    <row r="73" spans="1:26" ht="29.45" customHeight="1" x14ac:dyDescent="0.3">
      <c r="A73" s="2"/>
      <c r="B73" s="481"/>
      <c r="C73" s="485"/>
      <c r="D73" s="490" t="s">
        <v>372</v>
      </c>
      <c r="E73" s="27" t="s">
        <v>373</v>
      </c>
      <c r="F73" s="24" t="s">
        <v>338</v>
      </c>
      <c r="G73" s="28">
        <v>45535</v>
      </c>
      <c r="H73" s="44">
        <v>456.34</v>
      </c>
      <c r="I73" s="28">
        <v>45565</v>
      </c>
      <c r="J73" s="44">
        <v>500.02</v>
      </c>
      <c r="K73" s="67">
        <v>40</v>
      </c>
      <c r="L73" s="48">
        <f>J73-H73</f>
        <v>43.680000000000007</v>
      </c>
      <c r="M73" s="49">
        <f>M72</f>
        <v>9.457668</v>
      </c>
      <c r="N73" s="50">
        <f>M73*L73*K73</f>
        <v>16524.437529600003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9.45" customHeight="1" x14ac:dyDescent="0.3">
      <c r="A74" s="2"/>
      <c r="B74" s="482"/>
      <c r="C74" s="486"/>
      <c r="D74" s="491"/>
      <c r="E74" s="32"/>
      <c r="F74" s="33" t="s">
        <v>191</v>
      </c>
      <c r="G74" s="28">
        <v>45535</v>
      </c>
      <c r="H74" s="35">
        <v>1376</v>
      </c>
      <c r="I74" s="28">
        <v>45565</v>
      </c>
      <c r="J74" s="35">
        <v>1400</v>
      </c>
      <c r="K74" s="60">
        <v>1</v>
      </c>
      <c r="L74" s="52">
        <f>J74-H74</f>
        <v>24</v>
      </c>
      <c r="M74" s="68"/>
      <c r="N74" s="5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9.45" customHeight="1" x14ac:dyDescent="0.3">
      <c r="A75" s="2"/>
      <c r="B75" s="45"/>
      <c r="C75" s="46"/>
      <c r="D75" s="45"/>
      <c r="E75" s="19"/>
      <c r="F75" s="19"/>
      <c r="G75" s="19"/>
      <c r="H75" s="19"/>
      <c r="I75" s="19"/>
      <c r="J75" s="19"/>
      <c r="K75" s="19"/>
      <c r="L75" s="19"/>
      <c r="M75" s="61" t="s">
        <v>241</v>
      </c>
      <c r="N75" s="62">
        <f>SUM(N72:N74)</f>
        <v>19522.518285600003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9.4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9.45" customHeight="1" x14ac:dyDescent="0.3">
      <c r="A77" s="2"/>
      <c r="B77" s="473" t="s">
        <v>381</v>
      </c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9.45" customHeight="1" x14ac:dyDescent="0.3">
      <c r="A78" s="2"/>
      <c r="B78" s="476" t="s">
        <v>224</v>
      </c>
      <c r="C78" s="476"/>
      <c r="D78" s="18"/>
      <c r="E78" s="477" t="s">
        <v>377</v>
      </c>
      <c r="F78" s="477"/>
      <c r="G78" s="477"/>
      <c r="H78" s="477"/>
      <c r="I78" s="477"/>
      <c r="J78" s="477"/>
      <c r="K78" s="477"/>
      <c r="L78" s="18"/>
      <c r="M78" s="19"/>
      <c r="N78" s="1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9.45" customHeight="1" x14ac:dyDescent="0.3">
      <c r="A79" s="2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9.45" customHeight="1" x14ac:dyDescent="0.3">
      <c r="A80" s="2"/>
      <c r="B80" s="479" t="s">
        <v>227</v>
      </c>
      <c r="C80" s="483" t="s">
        <v>228</v>
      </c>
      <c r="D80" s="483" t="s">
        <v>229</v>
      </c>
      <c r="E80" s="478" t="s">
        <v>230</v>
      </c>
      <c r="F80" s="478" t="s">
        <v>231</v>
      </c>
      <c r="G80" s="478" t="s">
        <v>232</v>
      </c>
      <c r="H80" s="478"/>
      <c r="I80" s="478"/>
      <c r="J80" s="478"/>
      <c r="K80" s="478" t="s">
        <v>9</v>
      </c>
      <c r="L80" s="478" t="s">
        <v>233</v>
      </c>
      <c r="M80" s="488" t="s">
        <v>234</v>
      </c>
      <c r="N80" s="474" t="s">
        <v>18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9.45" customHeight="1" x14ac:dyDescent="0.3">
      <c r="A81" s="2"/>
      <c r="B81" s="480"/>
      <c r="C81" s="484"/>
      <c r="D81" s="484"/>
      <c r="E81" s="487"/>
      <c r="F81" s="487"/>
      <c r="G81" s="37" t="s">
        <v>235</v>
      </c>
      <c r="H81" s="36" t="s">
        <v>236</v>
      </c>
      <c r="I81" s="37" t="s">
        <v>235</v>
      </c>
      <c r="J81" s="36" t="s">
        <v>236</v>
      </c>
      <c r="K81" s="487"/>
      <c r="L81" s="487"/>
      <c r="M81" s="487"/>
      <c r="N81" s="47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9.45" customHeight="1" x14ac:dyDescent="0.3">
      <c r="A82" s="2"/>
      <c r="B82" s="481">
        <v>1</v>
      </c>
      <c r="C82" s="485" t="s">
        <v>369</v>
      </c>
      <c r="D82" s="26" t="s">
        <v>370</v>
      </c>
      <c r="E82" s="27" t="s">
        <v>371</v>
      </c>
      <c r="F82" s="24" t="s">
        <v>338</v>
      </c>
      <c r="G82" s="28">
        <v>45565</v>
      </c>
      <c r="H82" s="29">
        <v>37929</v>
      </c>
      <c r="I82" s="28">
        <v>45595</v>
      </c>
      <c r="J82" s="29">
        <v>38505</v>
      </c>
      <c r="K82" s="58">
        <v>1</v>
      </c>
      <c r="L82" s="48">
        <f>J82-H82</f>
        <v>576</v>
      </c>
      <c r="M82" s="49">
        <v>9.8216280000000005</v>
      </c>
      <c r="N82" s="50">
        <f>M82*L82*K82</f>
        <v>5657.2577280000005</v>
      </c>
      <c r="O82" s="2"/>
      <c r="P82" s="2"/>
      <c r="Q82" s="2"/>
      <c r="R82" s="2">
        <f>1.2*8.18469</f>
        <v>9.8216279999999987</v>
      </c>
      <c r="S82" s="2"/>
      <c r="T82" s="2"/>
      <c r="U82" s="2"/>
      <c r="V82" s="2"/>
      <c r="W82" s="2"/>
      <c r="X82" s="2"/>
      <c r="Y82" s="2"/>
      <c r="Z82" s="2"/>
    </row>
    <row r="83" spans="1:26" ht="29.45" customHeight="1" x14ac:dyDescent="0.3">
      <c r="A83" s="2"/>
      <c r="B83" s="481"/>
      <c r="C83" s="485"/>
      <c r="D83" s="490" t="s">
        <v>372</v>
      </c>
      <c r="E83" s="27" t="s">
        <v>373</v>
      </c>
      <c r="F83" s="24" t="s">
        <v>338</v>
      </c>
      <c r="G83" s="28">
        <v>45565</v>
      </c>
      <c r="H83" s="44">
        <v>500.02</v>
      </c>
      <c r="I83" s="28">
        <v>45595</v>
      </c>
      <c r="J83" s="44">
        <v>554.48</v>
      </c>
      <c r="K83" s="67">
        <v>40</v>
      </c>
      <c r="L83" s="48">
        <f>J83-H83</f>
        <v>54.460000000000036</v>
      </c>
      <c r="M83" s="49">
        <f>M82</f>
        <v>9.8216280000000005</v>
      </c>
      <c r="N83" s="50">
        <f>M83*L83*K83</f>
        <v>21395.434435200012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9.45" customHeight="1" x14ac:dyDescent="0.3">
      <c r="A84" s="2"/>
      <c r="B84" s="482"/>
      <c r="C84" s="486"/>
      <c r="D84" s="491"/>
      <c r="E84" s="32"/>
      <c r="F84" s="33" t="s">
        <v>191</v>
      </c>
      <c r="G84" s="28">
        <v>45565</v>
      </c>
      <c r="H84" s="35">
        <v>1400</v>
      </c>
      <c r="I84" s="28">
        <v>45595</v>
      </c>
      <c r="J84" s="35">
        <v>1427</v>
      </c>
      <c r="K84" s="60">
        <v>1</v>
      </c>
      <c r="L84" s="52">
        <f>J84-H84</f>
        <v>27</v>
      </c>
      <c r="M84" s="68"/>
      <c r="N84" s="5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9.45" customHeight="1" x14ac:dyDescent="0.3">
      <c r="A85" s="2"/>
      <c r="B85" s="45"/>
      <c r="C85" s="46"/>
      <c r="D85" s="45"/>
      <c r="E85" s="19"/>
      <c r="F85" s="19"/>
      <c r="G85" s="19"/>
      <c r="H85" s="19"/>
      <c r="I85" s="19"/>
      <c r="J85" s="19"/>
      <c r="K85" s="19"/>
      <c r="L85" s="19"/>
      <c r="M85" s="61" t="s">
        <v>241</v>
      </c>
      <c r="N85" s="62">
        <f>SUM(N82:N84)</f>
        <v>27052.692163200012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9.4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9.45" customHeight="1" x14ac:dyDescent="0.3">
      <c r="A87" s="2"/>
      <c r="B87" s="473" t="s">
        <v>382</v>
      </c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473"/>
      <c r="N87" s="47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9.45" customHeight="1" x14ac:dyDescent="0.3">
      <c r="A88" s="2"/>
      <c r="B88" s="476" t="s">
        <v>224</v>
      </c>
      <c r="C88" s="476"/>
      <c r="D88" s="18"/>
      <c r="E88" s="477" t="s">
        <v>377</v>
      </c>
      <c r="F88" s="477"/>
      <c r="G88" s="477"/>
      <c r="H88" s="477"/>
      <c r="I88" s="477"/>
      <c r="J88" s="477"/>
      <c r="K88" s="477"/>
      <c r="L88" s="18"/>
      <c r="M88" s="19"/>
      <c r="N88" s="1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9.45" customHeight="1" x14ac:dyDescent="0.3">
      <c r="A89" s="2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9.45" customHeight="1" x14ac:dyDescent="0.3">
      <c r="A90" s="2"/>
      <c r="B90" s="479" t="s">
        <v>227</v>
      </c>
      <c r="C90" s="483" t="s">
        <v>228</v>
      </c>
      <c r="D90" s="483" t="s">
        <v>229</v>
      </c>
      <c r="E90" s="478" t="s">
        <v>230</v>
      </c>
      <c r="F90" s="478" t="s">
        <v>231</v>
      </c>
      <c r="G90" s="478" t="s">
        <v>232</v>
      </c>
      <c r="H90" s="478"/>
      <c r="I90" s="478"/>
      <c r="J90" s="478"/>
      <c r="K90" s="478" t="s">
        <v>9</v>
      </c>
      <c r="L90" s="478" t="s">
        <v>233</v>
      </c>
      <c r="M90" s="488" t="s">
        <v>234</v>
      </c>
      <c r="N90" s="474" t="s">
        <v>18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9.45" customHeight="1" x14ac:dyDescent="0.3">
      <c r="A91" s="2"/>
      <c r="B91" s="480"/>
      <c r="C91" s="484"/>
      <c r="D91" s="484"/>
      <c r="E91" s="487"/>
      <c r="F91" s="487"/>
      <c r="G91" s="37" t="s">
        <v>235</v>
      </c>
      <c r="H91" s="36" t="s">
        <v>236</v>
      </c>
      <c r="I91" s="37" t="s">
        <v>235</v>
      </c>
      <c r="J91" s="36" t="s">
        <v>236</v>
      </c>
      <c r="K91" s="487"/>
      <c r="L91" s="487"/>
      <c r="M91" s="487"/>
      <c r="N91" s="47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9.45" customHeight="1" x14ac:dyDescent="0.3">
      <c r="A92" s="2"/>
      <c r="B92" s="481">
        <v>1</v>
      </c>
      <c r="C92" s="485" t="s">
        <v>369</v>
      </c>
      <c r="D92" s="26" t="s">
        <v>370</v>
      </c>
      <c r="E92" s="27" t="s">
        <v>371</v>
      </c>
      <c r="F92" s="24" t="s">
        <v>338</v>
      </c>
      <c r="G92" s="28">
        <v>45595</v>
      </c>
      <c r="H92" s="29">
        <v>38505</v>
      </c>
      <c r="I92" s="28">
        <v>45626</v>
      </c>
      <c r="J92" s="29">
        <v>39159</v>
      </c>
      <c r="K92" s="58">
        <v>1</v>
      </c>
      <c r="L92" s="48">
        <f>J92-H92</f>
        <v>654</v>
      </c>
      <c r="M92" s="49">
        <v>9.4093560563024692</v>
      </c>
      <c r="N92" s="50">
        <f>M92*L92*K92</f>
        <v>6153.7188608218148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9.45" customHeight="1" x14ac:dyDescent="0.3">
      <c r="A93" s="2"/>
      <c r="B93" s="481"/>
      <c r="C93" s="485"/>
      <c r="D93" s="490" t="s">
        <v>372</v>
      </c>
      <c r="E93" s="27" t="s">
        <v>373</v>
      </c>
      <c r="F93" s="24" t="s">
        <v>338</v>
      </c>
      <c r="G93" s="28">
        <v>45595</v>
      </c>
      <c r="H93" s="44">
        <v>554.48</v>
      </c>
      <c r="I93" s="28">
        <v>45626</v>
      </c>
      <c r="J93" s="44">
        <v>631.75</v>
      </c>
      <c r="K93" s="67">
        <v>40</v>
      </c>
      <c r="L93" s="48">
        <f>J93-H93</f>
        <v>77.269999999999982</v>
      </c>
      <c r="M93" s="49">
        <f>M92</f>
        <v>9.4093560563024692</v>
      </c>
      <c r="N93" s="50">
        <f>M93*L93*K93</f>
        <v>29082.437698819664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9.45" customHeight="1" x14ac:dyDescent="0.3">
      <c r="A94" s="2"/>
      <c r="B94" s="482"/>
      <c r="C94" s="486"/>
      <c r="D94" s="491"/>
      <c r="E94" s="32"/>
      <c r="F94" s="33" t="s">
        <v>191</v>
      </c>
      <c r="G94" s="28">
        <v>45595</v>
      </c>
      <c r="H94" s="35">
        <v>1427</v>
      </c>
      <c r="I94" s="28">
        <v>45626</v>
      </c>
      <c r="J94" s="35">
        <v>1452</v>
      </c>
      <c r="K94" s="60">
        <v>1</v>
      </c>
      <c r="L94" s="52">
        <f>J94-H94</f>
        <v>25</v>
      </c>
      <c r="M94" s="68"/>
      <c r="N94" s="5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.45" customHeight="1" x14ac:dyDescent="0.3">
      <c r="A95" s="2"/>
      <c r="B95" s="45"/>
      <c r="C95" s="46"/>
      <c r="D95" s="45"/>
      <c r="E95" s="19"/>
      <c r="F95" s="19"/>
      <c r="G95" s="19"/>
      <c r="H95" s="19"/>
      <c r="I95" s="19"/>
      <c r="J95" s="19"/>
      <c r="K95" s="19"/>
      <c r="L95" s="19"/>
      <c r="M95" s="61" t="s">
        <v>241</v>
      </c>
      <c r="N95" s="62">
        <f>SUM(N92:N94)</f>
        <v>35236.15655964148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9.4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9.45" customHeight="1" x14ac:dyDescent="0.3">
      <c r="A97" s="2"/>
      <c r="B97" s="473" t="s">
        <v>383</v>
      </c>
      <c r="C97" s="473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9.45" customHeight="1" x14ac:dyDescent="0.3">
      <c r="A98" s="2"/>
      <c r="B98" s="476" t="s">
        <v>224</v>
      </c>
      <c r="C98" s="476"/>
      <c r="D98" s="18"/>
      <c r="E98" s="477" t="s">
        <v>377</v>
      </c>
      <c r="F98" s="477"/>
      <c r="G98" s="477"/>
      <c r="H98" s="477"/>
      <c r="I98" s="477"/>
      <c r="J98" s="477"/>
      <c r="K98" s="477"/>
      <c r="L98" s="18"/>
      <c r="M98" s="19"/>
      <c r="N98" s="1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9.45" customHeight="1" x14ac:dyDescent="0.3">
      <c r="A99" s="2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9.45" customHeight="1" x14ac:dyDescent="0.3">
      <c r="A100" s="2"/>
      <c r="B100" s="479" t="s">
        <v>227</v>
      </c>
      <c r="C100" s="483" t="s">
        <v>228</v>
      </c>
      <c r="D100" s="483" t="s">
        <v>229</v>
      </c>
      <c r="E100" s="478" t="s">
        <v>230</v>
      </c>
      <c r="F100" s="478" t="s">
        <v>231</v>
      </c>
      <c r="G100" s="478" t="s">
        <v>232</v>
      </c>
      <c r="H100" s="478"/>
      <c r="I100" s="478"/>
      <c r="J100" s="478"/>
      <c r="K100" s="478" t="s">
        <v>9</v>
      </c>
      <c r="L100" s="478" t="s">
        <v>233</v>
      </c>
      <c r="M100" s="488" t="s">
        <v>234</v>
      </c>
      <c r="N100" s="474" t="s">
        <v>18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9.45" customHeight="1" x14ac:dyDescent="0.3">
      <c r="A101" s="2"/>
      <c r="B101" s="480"/>
      <c r="C101" s="484"/>
      <c r="D101" s="484"/>
      <c r="E101" s="487"/>
      <c r="F101" s="487"/>
      <c r="G101" s="37" t="s">
        <v>235</v>
      </c>
      <c r="H101" s="36" t="s">
        <v>236</v>
      </c>
      <c r="I101" s="37" t="s">
        <v>235</v>
      </c>
      <c r="J101" s="36" t="s">
        <v>236</v>
      </c>
      <c r="K101" s="487"/>
      <c r="L101" s="487"/>
      <c r="M101" s="487"/>
      <c r="N101" s="47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9.45" customHeight="1" x14ac:dyDescent="0.3">
      <c r="A102" s="2"/>
      <c r="B102" s="481">
        <v>1</v>
      </c>
      <c r="C102" s="485" t="s">
        <v>369</v>
      </c>
      <c r="D102" s="26" t="s">
        <v>370</v>
      </c>
      <c r="E102" s="27" t="s">
        <v>371</v>
      </c>
      <c r="F102" s="24" t="s">
        <v>338</v>
      </c>
      <c r="G102" s="28">
        <v>45626</v>
      </c>
      <c r="H102" s="29">
        <v>39159</v>
      </c>
      <c r="I102" s="28">
        <v>45656</v>
      </c>
      <c r="J102" s="29">
        <v>39689</v>
      </c>
      <c r="K102" s="58">
        <v>1</v>
      </c>
      <c r="L102" s="48">
        <f>J102-H102</f>
        <v>530</v>
      </c>
      <c r="M102" s="49">
        <v>10.090032058392101</v>
      </c>
      <c r="N102" s="50">
        <f>M102*L102*K102</f>
        <v>5347.7169909478134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9.45" customHeight="1" x14ac:dyDescent="0.3">
      <c r="A103" s="2"/>
      <c r="B103" s="481"/>
      <c r="C103" s="485"/>
      <c r="D103" s="490" t="s">
        <v>372</v>
      </c>
      <c r="E103" s="27" t="s">
        <v>373</v>
      </c>
      <c r="F103" s="24" t="s">
        <v>338</v>
      </c>
      <c r="G103" s="28">
        <v>45626</v>
      </c>
      <c r="H103" s="44">
        <v>631.75</v>
      </c>
      <c r="I103" s="28">
        <v>45656</v>
      </c>
      <c r="J103" s="44">
        <v>739.63</v>
      </c>
      <c r="K103" s="67">
        <v>40</v>
      </c>
      <c r="L103" s="48">
        <f>J103-H103</f>
        <v>107.88</v>
      </c>
      <c r="M103" s="49">
        <f>M102</f>
        <v>10.090032058392101</v>
      </c>
      <c r="N103" s="50">
        <f>M103*L103*K103</f>
        <v>43540.506338373591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9.45" customHeight="1" x14ac:dyDescent="0.3">
      <c r="A104" s="2"/>
      <c r="B104" s="482"/>
      <c r="C104" s="486"/>
      <c r="D104" s="491"/>
      <c r="E104" s="32"/>
      <c r="F104" s="33" t="s">
        <v>191</v>
      </c>
      <c r="G104" s="28">
        <v>45626</v>
      </c>
      <c r="H104" s="35">
        <v>1452</v>
      </c>
      <c r="I104" s="28">
        <v>45656</v>
      </c>
      <c r="J104" s="35">
        <v>1476</v>
      </c>
      <c r="K104" s="60">
        <v>1</v>
      </c>
      <c r="L104" s="52">
        <f>J104-H104</f>
        <v>24</v>
      </c>
      <c r="M104" s="68"/>
      <c r="N104" s="5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9.45" customHeight="1" x14ac:dyDescent="0.3">
      <c r="A105" s="2"/>
      <c r="B105" s="45"/>
      <c r="C105" s="46"/>
      <c r="D105" s="45"/>
      <c r="E105" s="19"/>
      <c r="F105" s="19"/>
      <c r="G105" s="19"/>
      <c r="H105" s="19"/>
      <c r="I105" s="19"/>
      <c r="J105" s="19"/>
      <c r="K105" s="19"/>
      <c r="L105" s="19"/>
      <c r="M105" s="61" t="s">
        <v>241</v>
      </c>
      <c r="N105" s="62">
        <f>SUM(N102:N104)</f>
        <v>48888.223329321401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9.4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3">
      <c r="A107" s="2"/>
      <c r="B107" s="473" t="s">
        <v>262</v>
      </c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x14ac:dyDescent="0.3">
      <c r="A108" s="2"/>
      <c r="B108" s="476" t="s">
        <v>224</v>
      </c>
      <c r="C108" s="476"/>
      <c r="D108" s="18"/>
      <c r="E108" s="477" t="s">
        <v>377</v>
      </c>
      <c r="F108" s="477"/>
      <c r="G108" s="477"/>
      <c r="H108" s="477"/>
      <c r="I108" s="477"/>
      <c r="J108" s="477"/>
      <c r="K108" s="477"/>
      <c r="L108" s="18"/>
      <c r="M108" s="19"/>
      <c r="N108" s="1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x14ac:dyDescent="0.3">
      <c r="A109" s="2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5" customHeight="1" x14ac:dyDescent="0.3">
      <c r="A110" s="2"/>
      <c r="B110" s="479" t="s">
        <v>227</v>
      </c>
      <c r="C110" s="483" t="s">
        <v>228</v>
      </c>
      <c r="D110" s="483" t="s">
        <v>229</v>
      </c>
      <c r="E110" s="478" t="s">
        <v>230</v>
      </c>
      <c r="F110" s="478" t="s">
        <v>231</v>
      </c>
      <c r="G110" s="478" t="s">
        <v>232</v>
      </c>
      <c r="H110" s="478"/>
      <c r="I110" s="478"/>
      <c r="J110" s="478"/>
      <c r="K110" s="478" t="s">
        <v>9</v>
      </c>
      <c r="L110" s="478" t="s">
        <v>233</v>
      </c>
      <c r="M110" s="488" t="s">
        <v>234</v>
      </c>
      <c r="N110" s="474" t="s">
        <v>18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x14ac:dyDescent="0.3">
      <c r="A111" s="2"/>
      <c r="B111" s="480"/>
      <c r="C111" s="484"/>
      <c r="D111" s="484"/>
      <c r="E111" s="487"/>
      <c r="F111" s="487"/>
      <c r="G111" s="37" t="s">
        <v>235</v>
      </c>
      <c r="H111" s="36" t="s">
        <v>236</v>
      </c>
      <c r="I111" s="37" t="s">
        <v>235</v>
      </c>
      <c r="J111" s="36" t="s">
        <v>236</v>
      </c>
      <c r="K111" s="487"/>
      <c r="L111" s="487"/>
      <c r="M111" s="487"/>
      <c r="N111" s="47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3">
      <c r="A112" s="2"/>
      <c r="B112" s="481">
        <v>1</v>
      </c>
      <c r="C112" s="485" t="s">
        <v>369</v>
      </c>
      <c r="D112" s="26" t="s">
        <v>370</v>
      </c>
      <c r="E112" s="27" t="s">
        <v>371</v>
      </c>
      <c r="F112" s="24" t="s">
        <v>338</v>
      </c>
      <c r="G112" s="28">
        <v>45656</v>
      </c>
      <c r="H112" s="29">
        <v>39689</v>
      </c>
      <c r="I112" s="28">
        <v>45688</v>
      </c>
      <c r="J112" s="29">
        <v>40349</v>
      </c>
      <c r="K112" s="58">
        <v>1</v>
      </c>
      <c r="L112" s="48">
        <f>J112-H112</f>
        <v>660</v>
      </c>
      <c r="M112" s="49">
        <v>10.090032058392101</v>
      </c>
      <c r="N112" s="50">
        <f>M112*L112*K112</f>
        <v>6659.4211585387866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3">
      <c r="A113" s="2"/>
      <c r="B113" s="481"/>
      <c r="C113" s="485"/>
      <c r="D113" s="490" t="s">
        <v>372</v>
      </c>
      <c r="E113" s="27" t="s">
        <v>373</v>
      </c>
      <c r="F113" s="24" t="s">
        <v>338</v>
      </c>
      <c r="G113" s="28">
        <v>45656</v>
      </c>
      <c r="H113" s="44">
        <v>739.63</v>
      </c>
      <c r="I113" s="28">
        <v>45688</v>
      </c>
      <c r="J113" s="44">
        <v>850.58</v>
      </c>
      <c r="K113" s="67">
        <v>40</v>
      </c>
      <c r="L113" s="48">
        <f>J113-H113</f>
        <v>110.95000000000005</v>
      </c>
      <c r="M113" s="49">
        <f>M112</f>
        <v>10.090032058392101</v>
      </c>
      <c r="N113" s="50">
        <f>M113*L113*K113</f>
        <v>44779.562275144162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3">
      <c r="A114" s="2"/>
      <c r="B114" s="482"/>
      <c r="C114" s="486"/>
      <c r="D114" s="491"/>
      <c r="E114" s="32"/>
      <c r="F114" s="33" t="s">
        <v>191</v>
      </c>
      <c r="G114" s="28">
        <v>45656</v>
      </c>
      <c r="H114" s="35">
        <v>1476</v>
      </c>
      <c r="I114" s="28">
        <v>45688</v>
      </c>
      <c r="J114" s="35">
        <v>1504</v>
      </c>
      <c r="K114" s="60">
        <v>1</v>
      </c>
      <c r="L114" s="52">
        <f>J114-H114</f>
        <v>28</v>
      </c>
      <c r="M114" s="68"/>
      <c r="N114" s="5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9.45" customHeight="1" x14ac:dyDescent="0.3">
      <c r="A115" s="2"/>
      <c r="B115" s="45"/>
      <c r="C115" s="46"/>
      <c r="D115" s="45"/>
      <c r="E115" s="19"/>
      <c r="F115" s="19"/>
      <c r="G115" s="19"/>
      <c r="H115" s="19"/>
      <c r="I115" s="19"/>
      <c r="J115" s="19"/>
      <c r="K115" s="19"/>
      <c r="L115" s="19"/>
      <c r="M115" s="61" t="s">
        <v>241</v>
      </c>
      <c r="N115" s="62">
        <f>SUM(N112:N114)</f>
        <v>51438.983433682952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9.4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9.45" customHeight="1" x14ac:dyDescent="0.3">
      <c r="A117" s="2"/>
      <c r="B117" s="473" t="s">
        <v>263</v>
      </c>
      <c r="C117" s="473"/>
      <c r="D117" s="473"/>
      <c r="E117" s="473"/>
      <c r="F117" s="473"/>
      <c r="G117" s="473"/>
      <c r="H117" s="473"/>
      <c r="I117" s="473"/>
      <c r="J117" s="473"/>
      <c r="K117" s="473"/>
      <c r="L117" s="473"/>
      <c r="M117" s="473"/>
      <c r="N117" s="47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9.45" customHeight="1" x14ac:dyDescent="0.3">
      <c r="A118" s="2"/>
      <c r="B118" s="476" t="s">
        <v>224</v>
      </c>
      <c r="C118" s="476"/>
      <c r="D118" s="18"/>
      <c r="E118" s="477" t="s">
        <v>377</v>
      </c>
      <c r="F118" s="477"/>
      <c r="G118" s="477"/>
      <c r="H118" s="477"/>
      <c r="I118" s="477"/>
      <c r="J118" s="477"/>
      <c r="K118" s="477"/>
      <c r="L118" s="18"/>
      <c r="M118" s="19"/>
      <c r="N118" s="1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9.45" customHeight="1" x14ac:dyDescent="0.3">
      <c r="A119" s="2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9.45" customHeight="1" x14ac:dyDescent="0.3">
      <c r="A120" s="2"/>
      <c r="B120" s="479" t="s">
        <v>227</v>
      </c>
      <c r="C120" s="483" t="s">
        <v>228</v>
      </c>
      <c r="D120" s="483" t="s">
        <v>229</v>
      </c>
      <c r="E120" s="478" t="s">
        <v>230</v>
      </c>
      <c r="F120" s="478" t="s">
        <v>231</v>
      </c>
      <c r="G120" s="478" t="s">
        <v>232</v>
      </c>
      <c r="H120" s="478"/>
      <c r="I120" s="478"/>
      <c r="J120" s="478"/>
      <c r="K120" s="478" t="s">
        <v>9</v>
      </c>
      <c r="L120" s="478" t="s">
        <v>233</v>
      </c>
      <c r="M120" s="488" t="s">
        <v>234</v>
      </c>
      <c r="N120" s="474" t="s">
        <v>18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9.45" customHeight="1" x14ac:dyDescent="0.3">
      <c r="A121" s="2"/>
      <c r="B121" s="480"/>
      <c r="C121" s="484"/>
      <c r="D121" s="484"/>
      <c r="E121" s="487"/>
      <c r="F121" s="487"/>
      <c r="G121" s="37" t="s">
        <v>235</v>
      </c>
      <c r="H121" s="36" t="s">
        <v>236</v>
      </c>
      <c r="I121" s="37" t="s">
        <v>235</v>
      </c>
      <c r="J121" s="36" t="s">
        <v>236</v>
      </c>
      <c r="K121" s="487"/>
      <c r="L121" s="487"/>
      <c r="M121" s="487"/>
      <c r="N121" s="47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9.45" customHeight="1" x14ac:dyDescent="0.3">
      <c r="A122" s="2"/>
      <c r="B122" s="481">
        <v>1</v>
      </c>
      <c r="C122" s="485" t="s">
        <v>369</v>
      </c>
      <c r="D122" s="26" t="s">
        <v>370</v>
      </c>
      <c r="E122" s="27" t="s">
        <v>371</v>
      </c>
      <c r="F122" s="24" t="s">
        <v>338</v>
      </c>
      <c r="G122" s="28">
        <v>45688</v>
      </c>
      <c r="H122" s="29">
        <v>40349</v>
      </c>
      <c r="I122" s="28" t="s">
        <v>384</v>
      </c>
      <c r="J122" s="29">
        <v>41009</v>
      </c>
      <c r="K122" s="58">
        <v>1</v>
      </c>
      <c r="L122" s="48">
        <f>J122-H122</f>
        <v>660</v>
      </c>
      <c r="M122" s="49">
        <v>10.181950000000001</v>
      </c>
      <c r="N122" s="50">
        <f>M122*L122*K122</f>
        <v>6720.0870000000004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9.45" customHeight="1" x14ac:dyDescent="0.3">
      <c r="A123" s="2"/>
      <c r="B123" s="481"/>
      <c r="C123" s="485"/>
      <c r="D123" s="490" t="s">
        <v>372</v>
      </c>
      <c r="E123" s="27" t="s">
        <v>373</v>
      </c>
      <c r="F123" s="24" t="s">
        <v>338</v>
      </c>
      <c r="G123" s="28">
        <v>45688</v>
      </c>
      <c r="H123" s="44">
        <v>850.58</v>
      </c>
      <c r="I123" s="28" t="s">
        <v>384</v>
      </c>
      <c r="J123" s="44">
        <v>990.58</v>
      </c>
      <c r="K123" s="67">
        <v>40</v>
      </c>
      <c r="L123" s="48">
        <f>J123-H123</f>
        <v>140</v>
      </c>
      <c r="M123" s="49">
        <f>M122</f>
        <v>10.181950000000001</v>
      </c>
      <c r="N123" s="50">
        <f>M123*L123*K123</f>
        <v>57018.92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9.45" customHeight="1" x14ac:dyDescent="0.3">
      <c r="A124" s="2"/>
      <c r="B124" s="482"/>
      <c r="C124" s="486"/>
      <c r="D124" s="491"/>
      <c r="E124" s="32"/>
      <c r="F124" s="33" t="s">
        <v>191</v>
      </c>
      <c r="G124" s="28">
        <v>45688</v>
      </c>
      <c r="H124" s="35">
        <v>1504</v>
      </c>
      <c r="I124" s="28" t="s">
        <v>384</v>
      </c>
      <c r="J124" s="35">
        <v>1532</v>
      </c>
      <c r="K124" s="60">
        <v>1</v>
      </c>
      <c r="L124" s="52">
        <f>J124-H124</f>
        <v>28</v>
      </c>
      <c r="M124" s="68"/>
      <c r="N124" s="5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9.45" customHeight="1" x14ac:dyDescent="0.3">
      <c r="A125" s="2"/>
      <c r="B125" s="45"/>
      <c r="C125" s="46"/>
      <c r="D125" s="45"/>
      <c r="E125" s="19"/>
      <c r="F125" s="19"/>
      <c r="G125" s="19"/>
      <c r="H125" s="19"/>
      <c r="I125" s="19"/>
      <c r="J125" s="19"/>
      <c r="K125" s="19"/>
      <c r="L125" s="19"/>
      <c r="M125" s="61" t="s">
        <v>241</v>
      </c>
      <c r="N125" s="62">
        <f>SUM(N122:N124)</f>
        <v>63739.006999999998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9.45" customHeight="1" x14ac:dyDescent="0.3">
      <c r="A126" s="2"/>
      <c r="B126" s="473" t="s">
        <v>264</v>
      </c>
      <c r="C126" s="473"/>
      <c r="D126" s="473"/>
      <c r="E126" s="473"/>
      <c r="F126" s="473"/>
      <c r="G126" s="473"/>
      <c r="H126" s="473"/>
      <c r="I126" s="473"/>
      <c r="J126" s="473"/>
      <c r="K126" s="473"/>
      <c r="L126" s="473"/>
      <c r="M126" s="473"/>
      <c r="N126" s="47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9.45" customHeight="1" x14ac:dyDescent="0.3">
      <c r="A127" s="2"/>
      <c r="B127" s="476" t="s">
        <v>224</v>
      </c>
      <c r="C127" s="476"/>
      <c r="D127" s="18"/>
      <c r="E127" s="477" t="s">
        <v>377</v>
      </c>
      <c r="F127" s="477"/>
      <c r="G127" s="477"/>
      <c r="H127" s="477"/>
      <c r="I127" s="477"/>
      <c r="J127" s="477"/>
      <c r="K127" s="477"/>
      <c r="L127" s="18"/>
      <c r="M127" s="19"/>
      <c r="N127" s="1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9.45" customHeight="1" x14ac:dyDescent="0.3">
      <c r="A128" s="2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9.45" customHeight="1" x14ac:dyDescent="0.3">
      <c r="A129" s="2"/>
      <c r="B129" s="479" t="s">
        <v>227</v>
      </c>
      <c r="C129" s="483" t="s">
        <v>228</v>
      </c>
      <c r="D129" s="483" t="s">
        <v>229</v>
      </c>
      <c r="E129" s="478" t="s">
        <v>230</v>
      </c>
      <c r="F129" s="478" t="s">
        <v>231</v>
      </c>
      <c r="G129" s="478" t="s">
        <v>232</v>
      </c>
      <c r="H129" s="478"/>
      <c r="I129" s="478"/>
      <c r="J129" s="478"/>
      <c r="K129" s="478" t="s">
        <v>9</v>
      </c>
      <c r="L129" s="478" t="s">
        <v>233</v>
      </c>
      <c r="M129" s="488" t="s">
        <v>234</v>
      </c>
      <c r="N129" s="474" t="s">
        <v>18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9.45" customHeight="1" x14ac:dyDescent="0.3">
      <c r="A130" s="2"/>
      <c r="B130" s="480"/>
      <c r="C130" s="484"/>
      <c r="D130" s="484"/>
      <c r="E130" s="487"/>
      <c r="F130" s="487"/>
      <c r="G130" s="37" t="s">
        <v>235</v>
      </c>
      <c r="H130" s="36" t="s">
        <v>236</v>
      </c>
      <c r="I130" s="37" t="s">
        <v>235</v>
      </c>
      <c r="J130" s="36" t="s">
        <v>236</v>
      </c>
      <c r="K130" s="487"/>
      <c r="L130" s="487"/>
      <c r="M130" s="487"/>
      <c r="N130" s="47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9.45" customHeight="1" x14ac:dyDescent="0.3">
      <c r="A131" s="2"/>
      <c r="B131" s="481">
        <v>1</v>
      </c>
      <c r="C131" s="485" t="s">
        <v>369</v>
      </c>
      <c r="D131" s="26" t="s">
        <v>370</v>
      </c>
      <c r="E131" s="27" t="s">
        <v>371</v>
      </c>
      <c r="F131" s="24" t="s">
        <v>338</v>
      </c>
      <c r="G131" s="28" t="s">
        <v>384</v>
      </c>
      <c r="H131" s="29">
        <v>41009</v>
      </c>
      <c r="I131" s="28">
        <v>45747</v>
      </c>
      <c r="J131" s="29">
        <v>41736</v>
      </c>
      <c r="K131" s="58">
        <v>1</v>
      </c>
      <c r="L131" s="48">
        <f>J131-H131</f>
        <v>727</v>
      </c>
      <c r="M131" s="49">
        <v>9.1460760384886193</v>
      </c>
      <c r="N131" s="50">
        <f>M131*L131*K131</f>
        <v>6649.1972799812265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9.45" customHeight="1" x14ac:dyDescent="0.3">
      <c r="A132" s="2"/>
      <c r="B132" s="481"/>
      <c r="C132" s="485"/>
      <c r="D132" s="490" t="s">
        <v>372</v>
      </c>
      <c r="E132" s="27" t="s">
        <v>373</v>
      </c>
      <c r="F132" s="24" t="s">
        <v>338</v>
      </c>
      <c r="G132" s="28" t="s">
        <v>384</v>
      </c>
      <c r="H132" s="44">
        <v>990.58</v>
      </c>
      <c r="I132" s="28">
        <v>45747</v>
      </c>
      <c r="J132" s="44">
        <v>1064.52</v>
      </c>
      <c r="K132" s="67">
        <v>40</v>
      </c>
      <c r="L132" s="48">
        <f>J132-H132</f>
        <v>73.939999999999941</v>
      </c>
      <c r="M132" s="49">
        <f>M131</f>
        <v>9.1460760384886193</v>
      </c>
      <c r="N132" s="50">
        <f>M132*L132*K132</f>
        <v>27050.43449143392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9.45" customHeight="1" x14ac:dyDescent="0.3">
      <c r="A133" s="2"/>
      <c r="B133" s="482"/>
      <c r="C133" s="486"/>
      <c r="D133" s="491"/>
      <c r="E133" s="32"/>
      <c r="F133" s="33" t="s">
        <v>191</v>
      </c>
      <c r="G133" s="28" t="s">
        <v>384</v>
      </c>
      <c r="H133" s="35">
        <v>1532</v>
      </c>
      <c r="I133" s="28">
        <v>45747</v>
      </c>
      <c r="J133" s="35">
        <v>1559</v>
      </c>
      <c r="K133" s="60">
        <v>1</v>
      </c>
      <c r="L133" s="52">
        <f>J133-H133</f>
        <v>27</v>
      </c>
      <c r="M133" s="68"/>
      <c r="N133" s="5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9.45" customHeight="1" x14ac:dyDescent="0.3">
      <c r="A134" s="2"/>
      <c r="B134" s="45"/>
      <c r="C134" s="46"/>
      <c r="D134" s="45"/>
      <c r="E134" s="19"/>
      <c r="F134" s="19"/>
      <c r="G134" s="19"/>
      <c r="H134" s="19"/>
      <c r="I134" s="19"/>
      <c r="J134" s="19"/>
      <c r="K134" s="19"/>
      <c r="L134" s="19"/>
      <c r="M134" s="61" t="s">
        <v>241</v>
      </c>
      <c r="N134" s="62">
        <f>SUM(N131:N133)</f>
        <v>33699.631771415145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9.4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9.45" customHeight="1" x14ac:dyDescent="0.3">
      <c r="A136" s="2"/>
      <c r="B136" s="473" t="s">
        <v>265</v>
      </c>
      <c r="C136" s="473"/>
      <c r="D136" s="473"/>
      <c r="E136" s="473"/>
      <c r="F136" s="473"/>
      <c r="G136" s="473"/>
      <c r="H136" s="473"/>
      <c r="I136" s="473"/>
      <c r="J136" s="473"/>
      <c r="K136" s="473"/>
      <c r="L136" s="473"/>
      <c r="M136" s="473"/>
      <c r="N136" s="47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9.45" customHeight="1" x14ac:dyDescent="0.3">
      <c r="A137" s="2"/>
      <c r="B137" s="476" t="s">
        <v>224</v>
      </c>
      <c r="C137" s="476"/>
      <c r="D137" s="18"/>
      <c r="E137" s="477" t="s">
        <v>377</v>
      </c>
      <c r="F137" s="477"/>
      <c r="G137" s="477"/>
      <c r="H137" s="477"/>
      <c r="I137" s="477"/>
      <c r="J137" s="477"/>
      <c r="K137" s="477"/>
      <c r="L137" s="18"/>
      <c r="M137" s="19"/>
      <c r="N137" s="1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9.45" customHeight="1" x14ac:dyDescent="0.3">
      <c r="A138" s="2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9.45" customHeight="1" x14ac:dyDescent="0.3">
      <c r="A139" s="2"/>
      <c r="B139" s="479" t="s">
        <v>227</v>
      </c>
      <c r="C139" s="483" t="s">
        <v>228</v>
      </c>
      <c r="D139" s="483" t="s">
        <v>229</v>
      </c>
      <c r="E139" s="478" t="s">
        <v>230</v>
      </c>
      <c r="F139" s="478" t="s">
        <v>231</v>
      </c>
      <c r="G139" s="478" t="s">
        <v>232</v>
      </c>
      <c r="H139" s="478"/>
      <c r="I139" s="478"/>
      <c r="J139" s="478"/>
      <c r="K139" s="478" t="s">
        <v>9</v>
      </c>
      <c r="L139" s="478" t="s">
        <v>233</v>
      </c>
      <c r="M139" s="488" t="s">
        <v>234</v>
      </c>
      <c r="N139" s="474" t="s">
        <v>18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9.45" customHeight="1" x14ac:dyDescent="0.3">
      <c r="A140" s="2"/>
      <c r="B140" s="480"/>
      <c r="C140" s="484"/>
      <c r="D140" s="484"/>
      <c r="E140" s="487"/>
      <c r="F140" s="487"/>
      <c r="G140" s="37" t="s">
        <v>235</v>
      </c>
      <c r="H140" s="36" t="s">
        <v>236</v>
      </c>
      <c r="I140" s="37" t="s">
        <v>235</v>
      </c>
      <c r="J140" s="36" t="s">
        <v>236</v>
      </c>
      <c r="K140" s="487"/>
      <c r="L140" s="487"/>
      <c r="M140" s="487"/>
      <c r="N140" s="47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9.45" customHeight="1" x14ac:dyDescent="0.3">
      <c r="A141" s="2"/>
      <c r="B141" s="481">
        <v>1</v>
      </c>
      <c r="C141" s="485" t="s">
        <v>369</v>
      </c>
      <c r="D141" s="26" t="s">
        <v>370</v>
      </c>
      <c r="E141" s="27" t="s">
        <v>371</v>
      </c>
      <c r="F141" s="24" t="s">
        <v>338</v>
      </c>
      <c r="G141" s="28">
        <v>45747</v>
      </c>
      <c r="H141" s="29">
        <v>41736</v>
      </c>
      <c r="I141" s="28">
        <v>45777</v>
      </c>
      <c r="J141" s="29">
        <v>42371</v>
      </c>
      <c r="K141" s="58">
        <v>1</v>
      </c>
      <c r="L141" s="48">
        <f>J141-H141</f>
        <v>635</v>
      </c>
      <c r="M141" s="49">
        <v>8.1087240000000005</v>
      </c>
      <c r="N141" s="50">
        <f>M141*L141*K141</f>
        <v>5149.0397400000002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9.45" customHeight="1" x14ac:dyDescent="0.3">
      <c r="A142" s="2"/>
      <c r="B142" s="481"/>
      <c r="C142" s="485"/>
      <c r="D142" s="490" t="s">
        <v>372</v>
      </c>
      <c r="E142" s="27" t="s">
        <v>373</v>
      </c>
      <c r="F142" s="24" t="s">
        <v>338</v>
      </c>
      <c r="G142" s="28">
        <v>45747</v>
      </c>
      <c r="H142" s="44">
        <v>1064.52</v>
      </c>
      <c r="I142" s="28">
        <v>45777</v>
      </c>
      <c r="J142" s="44">
        <v>11114.48</v>
      </c>
      <c r="K142" s="67">
        <v>40</v>
      </c>
      <c r="L142" s="48">
        <f>J142-H142</f>
        <v>10049.959999999999</v>
      </c>
      <c r="M142" s="49">
        <f>M141</f>
        <v>8.1087240000000005</v>
      </c>
      <c r="N142" s="50">
        <f>M142*L142*K142</f>
        <v>3259694.0740416003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9.45" customHeight="1" x14ac:dyDescent="0.3">
      <c r="A143" s="2"/>
      <c r="B143" s="482"/>
      <c r="C143" s="486"/>
      <c r="D143" s="491"/>
      <c r="E143" s="32"/>
      <c r="F143" s="33" t="s">
        <v>191</v>
      </c>
      <c r="G143" s="28">
        <v>45747</v>
      </c>
      <c r="H143" s="35">
        <v>1559</v>
      </c>
      <c r="I143" s="28">
        <v>45777</v>
      </c>
      <c r="J143" s="35">
        <v>1585</v>
      </c>
      <c r="K143" s="60">
        <v>1</v>
      </c>
      <c r="L143" s="52">
        <f>J143-H143</f>
        <v>26</v>
      </c>
      <c r="M143" s="68"/>
      <c r="N143" s="5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9.45" customHeight="1" x14ac:dyDescent="0.3">
      <c r="A144" s="2"/>
      <c r="B144" s="45"/>
      <c r="C144" s="46"/>
      <c r="D144" s="45"/>
      <c r="E144" s="19"/>
      <c r="F144" s="19"/>
      <c r="G144" s="19"/>
      <c r="H144" s="19"/>
      <c r="I144" s="19"/>
      <c r="J144" s="19"/>
      <c r="K144" s="19"/>
      <c r="L144" s="19"/>
      <c r="M144" s="61" t="s">
        <v>241</v>
      </c>
      <c r="N144" s="62">
        <f>SUM(N141:N143)</f>
        <v>3264843.1137816003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9.45" customHeight="1" x14ac:dyDescent="0.3">
      <c r="A145" s="2"/>
      <c r="B145" s="473" t="s">
        <v>266</v>
      </c>
      <c r="C145" s="473"/>
      <c r="D145" s="473"/>
      <c r="E145" s="473"/>
      <c r="F145" s="473"/>
      <c r="G145" s="473"/>
      <c r="H145" s="473"/>
      <c r="I145" s="473"/>
      <c r="J145" s="473"/>
      <c r="K145" s="473"/>
      <c r="L145" s="473"/>
      <c r="M145" s="473"/>
      <c r="N145" s="47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9.45" customHeight="1" x14ac:dyDescent="0.3">
      <c r="A146" s="2"/>
      <c r="B146" s="476" t="s">
        <v>224</v>
      </c>
      <c r="C146" s="476"/>
      <c r="D146" s="18"/>
      <c r="E146" s="477" t="s">
        <v>377</v>
      </c>
      <c r="F146" s="477"/>
      <c r="G146" s="477"/>
      <c r="H146" s="477"/>
      <c r="I146" s="477"/>
      <c r="J146" s="477"/>
      <c r="K146" s="477"/>
      <c r="L146" s="18"/>
      <c r="M146" s="19"/>
      <c r="N146" s="1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9.45" customHeight="1" x14ac:dyDescent="0.3">
      <c r="A147" s="2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9.45" customHeight="1" x14ac:dyDescent="0.3">
      <c r="A148" s="2"/>
      <c r="B148" s="479" t="s">
        <v>227</v>
      </c>
      <c r="C148" s="483" t="s">
        <v>228</v>
      </c>
      <c r="D148" s="483" t="s">
        <v>229</v>
      </c>
      <c r="E148" s="478" t="s">
        <v>230</v>
      </c>
      <c r="F148" s="478" t="s">
        <v>231</v>
      </c>
      <c r="G148" s="478" t="s">
        <v>232</v>
      </c>
      <c r="H148" s="478"/>
      <c r="I148" s="478"/>
      <c r="J148" s="478"/>
      <c r="K148" s="478" t="s">
        <v>9</v>
      </c>
      <c r="L148" s="478" t="s">
        <v>233</v>
      </c>
      <c r="M148" s="488" t="s">
        <v>234</v>
      </c>
      <c r="N148" s="474" t="s">
        <v>18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9.45" customHeight="1" x14ac:dyDescent="0.3">
      <c r="A149" s="2"/>
      <c r="B149" s="480"/>
      <c r="C149" s="484"/>
      <c r="D149" s="484"/>
      <c r="E149" s="487"/>
      <c r="F149" s="487"/>
      <c r="G149" s="37" t="s">
        <v>235</v>
      </c>
      <c r="H149" s="36" t="s">
        <v>236</v>
      </c>
      <c r="I149" s="37" t="s">
        <v>235</v>
      </c>
      <c r="J149" s="36" t="s">
        <v>236</v>
      </c>
      <c r="K149" s="487"/>
      <c r="L149" s="487"/>
      <c r="M149" s="487"/>
      <c r="N149" s="47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9.45" customHeight="1" x14ac:dyDescent="0.3">
      <c r="A150" s="2"/>
      <c r="B150" s="481">
        <v>1</v>
      </c>
      <c r="C150" s="485" t="s">
        <v>369</v>
      </c>
      <c r="D150" s="26" t="s">
        <v>370</v>
      </c>
      <c r="E150" s="27" t="s">
        <v>371</v>
      </c>
      <c r="F150" s="24" t="s">
        <v>338</v>
      </c>
      <c r="G150" s="28">
        <v>45777</v>
      </c>
      <c r="H150" s="29">
        <v>42371</v>
      </c>
      <c r="I150" s="28">
        <v>45808</v>
      </c>
      <c r="J150" s="29">
        <v>42874</v>
      </c>
      <c r="K150" s="58">
        <v>1</v>
      </c>
      <c r="L150" s="48">
        <f>J150-H150</f>
        <v>503</v>
      </c>
      <c r="M150" s="49">
        <v>8.1087240000000005</v>
      </c>
      <c r="N150" s="50">
        <f>M150*L150*K150</f>
        <v>4078.6881720000001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9.45" customHeight="1" x14ac:dyDescent="0.3">
      <c r="A151" s="2"/>
      <c r="B151" s="481"/>
      <c r="C151" s="485"/>
      <c r="D151" s="490" t="s">
        <v>372</v>
      </c>
      <c r="E151" s="27" t="s">
        <v>373</v>
      </c>
      <c r="F151" s="24" t="s">
        <v>338</v>
      </c>
      <c r="G151" s="28">
        <v>45777</v>
      </c>
      <c r="H151" s="44">
        <v>1114.48</v>
      </c>
      <c r="I151" s="28">
        <v>45808</v>
      </c>
      <c r="J151" s="44">
        <v>1141.01</v>
      </c>
      <c r="K151" s="67">
        <v>40</v>
      </c>
      <c r="L151" s="48">
        <f>J151-H151</f>
        <v>26.529999999999973</v>
      </c>
      <c r="M151" s="49">
        <f>M150</f>
        <v>8.1087240000000005</v>
      </c>
      <c r="N151" s="50">
        <f>M151*L151*K151</f>
        <v>8604.9779087999905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9.45" customHeight="1" x14ac:dyDescent="0.3">
      <c r="A152" s="2"/>
      <c r="B152" s="482"/>
      <c r="C152" s="486"/>
      <c r="D152" s="491"/>
      <c r="E152" s="32"/>
      <c r="F152" s="33" t="s">
        <v>191</v>
      </c>
      <c r="G152" s="28">
        <v>45777</v>
      </c>
      <c r="H152" s="35">
        <v>1585</v>
      </c>
      <c r="I152" s="28">
        <v>45808</v>
      </c>
      <c r="J152" s="35">
        <v>1618</v>
      </c>
      <c r="K152" s="60">
        <v>1</v>
      </c>
      <c r="L152" s="52">
        <f>J152-H152</f>
        <v>33</v>
      </c>
      <c r="M152" s="68"/>
      <c r="N152" s="5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9.45" customHeight="1" x14ac:dyDescent="0.3">
      <c r="A153" s="2"/>
      <c r="B153" s="45"/>
      <c r="C153" s="46"/>
      <c r="D153" s="45"/>
      <c r="E153" s="19"/>
      <c r="F153" s="19"/>
      <c r="G153" s="19"/>
      <c r="H153" s="19"/>
      <c r="I153" s="19"/>
      <c r="J153" s="19"/>
      <c r="K153" s="19"/>
      <c r="L153" s="19"/>
      <c r="M153" s="61" t="s">
        <v>241</v>
      </c>
      <c r="N153" s="62">
        <f>SUM(N150:N152)</f>
        <v>12683.666080799991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9.45" customHeight="1" x14ac:dyDescent="0.3">
      <c r="A154" s="2"/>
      <c r="B154" s="473" t="s">
        <v>267</v>
      </c>
      <c r="C154" s="473"/>
      <c r="D154" s="473"/>
      <c r="E154" s="473"/>
      <c r="F154" s="473"/>
      <c r="G154" s="473"/>
      <c r="H154" s="473"/>
      <c r="I154" s="473"/>
      <c r="J154" s="473"/>
      <c r="K154" s="473"/>
      <c r="L154" s="473"/>
      <c r="M154" s="473"/>
      <c r="N154" s="47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9.45" customHeight="1" x14ac:dyDescent="0.3">
      <c r="A155" s="2"/>
      <c r="B155" s="476" t="s">
        <v>224</v>
      </c>
      <c r="C155" s="476"/>
      <c r="D155" s="18"/>
      <c r="E155" s="477" t="s">
        <v>377</v>
      </c>
      <c r="F155" s="477"/>
      <c r="G155" s="477"/>
      <c r="H155" s="477"/>
      <c r="I155" s="477"/>
      <c r="J155" s="477"/>
      <c r="K155" s="477"/>
      <c r="L155" s="18"/>
      <c r="M155" s="19"/>
      <c r="N155" s="1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9.45" customHeight="1" x14ac:dyDescent="0.3">
      <c r="A156" s="2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9.45" customHeight="1" x14ac:dyDescent="0.3">
      <c r="A157" s="2"/>
      <c r="B157" s="479" t="s">
        <v>227</v>
      </c>
      <c r="C157" s="483" t="s">
        <v>228</v>
      </c>
      <c r="D157" s="483" t="s">
        <v>229</v>
      </c>
      <c r="E157" s="478" t="s">
        <v>230</v>
      </c>
      <c r="F157" s="478" t="s">
        <v>231</v>
      </c>
      <c r="G157" s="478" t="s">
        <v>232</v>
      </c>
      <c r="H157" s="478"/>
      <c r="I157" s="478"/>
      <c r="J157" s="478"/>
      <c r="K157" s="478" t="s">
        <v>9</v>
      </c>
      <c r="L157" s="478" t="s">
        <v>233</v>
      </c>
      <c r="M157" s="488" t="s">
        <v>234</v>
      </c>
      <c r="N157" s="474" t="s">
        <v>18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9.45" customHeight="1" x14ac:dyDescent="0.3">
      <c r="A158" s="2"/>
      <c r="B158" s="480"/>
      <c r="C158" s="484"/>
      <c r="D158" s="484"/>
      <c r="E158" s="487"/>
      <c r="F158" s="487"/>
      <c r="G158" s="37" t="s">
        <v>235</v>
      </c>
      <c r="H158" s="36" t="s">
        <v>236</v>
      </c>
      <c r="I158" s="37" t="s">
        <v>235</v>
      </c>
      <c r="J158" s="36" t="s">
        <v>236</v>
      </c>
      <c r="K158" s="487"/>
      <c r="L158" s="487"/>
      <c r="M158" s="487"/>
      <c r="N158" s="47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9.45" customHeight="1" x14ac:dyDescent="0.3">
      <c r="A159" s="2"/>
      <c r="B159" s="481">
        <v>1</v>
      </c>
      <c r="C159" s="485" t="s">
        <v>369</v>
      </c>
      <c r="D159" s="26" t="s">
        <v>370</v>
      </c>
      <c r="E159" s="27" t="s">
        <v>371</v>
      </c>
      <c r="F159" s="24" t="s">
        <v>338</v>
      </c>
      <c r="G159" s="28">
        <v>45838</v>
      </c>
      <c r="H159" s="29">
        <v>43234</v>
      </c>
      <c r="I159" s="28">
        <v>45838</v>
      </c>
      <c r="J159" s="29">
        <v>43634</v>
      </c>
      <c r="K159" s="58">
        <v>1</v>
      </c>
      <c r="L159" s="48">
        <f>J159-H159</f>
        <v>400</v>
      </c>
      <c r="M159" s="49">
        <v>9.3250200000000003</v>
      </c>
      <c r="N159" s="50">
        <f>M159*L159*K159</f>
        <v>3730.0080000000003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9.45" customHeight="1" x14ac:dyDescent="0.3">
      <c r="A160" s="2"/>
      <c r="B160" s="481"/>
      <c r="C160" s="485"/>
      <c r="D160" s="490" t="s">
        <v>372</v>
      </c>
      <c r="E160" s="27" t="s">
        <v>373</v>
      </c>
      <c r="F160" s="24" t="s">
        <v>338</v>
      </c>
      <c r="G160" s="28">
        <v>45838</v>
      </c>
      <c r="H160" s="44">
        <v>1160.49</v>
      </c>
      <c r="I160" s="28">
        <v>45838</v>
      </c>
      <c r="J160" s="44">
        <v>1182.97</v>
      </c>
      <c r="K160" s="67">
        <v>40</v>
      </c>
      <c r="L160" s="48">
        <f>J160-H160</f>
        <v>22.480000000000018</v>
      </c>
      <c r="M160" s="49">
        <f>M159</f>
        <v>9.3250200000000003</v>
      </c>
      <c r="N160" s="50">
        <f>M160*L160*K160</f>
        <v>8385.0579840000064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9.45" customHeight="1" x14ac:dyDescent="0.3">
      <c r="A161" s="2"/>
      <c r="B161" s="482"/>
      <c r="C161" s="486"/>
      <c r="D161" s="491"/>
      <c r="E161" s="32"/>
      <c r="F161" s="33" t="s">
        <v>191</v>
      </c>
      <c r="G161" s="28">
        <v>45838</v>
      </c>
      <c r="H161" s="35">
        <v>1644</v>
      </c>
      <c r="I161" s="28">
        <v>45838</v>
      </c>
      <c r="J161" s="35">
        <v>1644</v>
      </c>
      <c r="K161" s="60">
        <v>1</v>
      </c>
      <c r="L161" s="52">
        <f>J161-H161</f>
        <v>0</v>
      </c>
      <c r="M161" s="68"/>
      <c r="N161" s="5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9.45" customHeight="1" x14ac:dyDescent="0.3">
      <c r="A162" s="2"/>
      <c r="B162" s="45"/>
      <c r="C162" s="46"/>
      <c r="D162" s="45"/>
      <c r="E162" s="19"/>
      <c r="F162" s="19"/>
      <c r="G162" s="19"/>
      <c r="H162" s="19"/>
      <c r="I162" s="19"/>
      <c r="J162" s="19"/>
      <c r="K162" s="19"/>
      <c r="L162" s="19"/>
      <c r="M162" s="61" t="s">
        <v>241</v>
      </c>
      <c r="N162" s="62">
        <f>SUM(N159:N161)</f>
        <v>12115.065984000006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9.4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9.45" customHeight="1" x14ac:dyDescent="0.3">
      <c r="A164" s="2"/>
      <c r="B164" s="473" t="s">
        <v>269</v>
      </c>
      <c r="C164" s="473"/>
      <c r="D164" s="473"/>
      <c r="E164" s="473"/>
      <c r="F164" s="473"/>
      <c r="G164" s="473"/>
      <c r="H164" s="473"/>
      <c r="I164" s="473"/>
      <c r="J164" s="473"/>
      <c r="K164" s="473"/>
      <c r="L164" s="473"/>
      <c r="M164" s="473"/>
      <c r="N164" s="47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9.45" customHeight="1" x14ac:dyDescent="0.3">
      <c r="A165" s="2"/>
      <c r="B165" s="476" t="s">
        <v>224</v>
      </c>
      <c r="C165" s="476"/>
      <c r="D165" s="18"/>
      <c r="E165" s="477" t="s">
        <v>377</v>
      </c>
      <c r="F165" s="477"/>
      <c r="G165" s="477"/>
      <c r="H165" s="477"/>
      <c r="I165" s="477"/>
      <c r="J165" s="477"/>
      <c r="K165" s="477"/>
      <c r="L165" s="18"/>
      <c r="M165" s="19"/>
      <c r="N165" s="1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9.45" customHeight="1" x14ac:dyDescent="0.3">
      <c r="A166" s="2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9.45" customHeight="1" x14ac:dyDescent="0.3">
      <c r="A167" s="2"/>
      <c r="B167" s="479" t="s">
        <v>227</v>
      </c>
      <c r="C167" s="483" t="s">
        <v>228</v>
      </c>
      <c r="D167" s="483" t="s">
        <v>229</v>
      </c>
      <c r="E167" s="478" t="s">
        <v>230</v>
      </c>
      <c r="F167" s="478" t="s">
        <v>231</v>
      </c>
      <c r="G167" s="478" t="s">
        <v>232</v>
      </c>
      <c r="H167" s="478"/>
      <c r="I167" s="478"/>
      <c r="J167" s="478"/>
      <c r="K167" s="478" t="s">
        <v>9</v>
      </c>
      <c r="L167" s="478" t="s">
        <v>233</v>
      </c>
      <c r="M167" s="488" t="s">
        <v>234</v>
      </c>
      <c r="N167" s="474" t="s">
        <v>18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9.45" customHeight="1" x14ac:dyDescent="0.3">
      <c r="A168" s="2"/>
      <c r="B168" s="480"/>
      <c r="C168" s="484"/>
      <c r="D168" s="484"/>
      <c r="E168" s="487"/>
      <c r="F168" s="487"/>
      <c r="G168" s="37" t="s">
        <v>235</v>
      </c>
      <c r="H168" s="36" t="s">
        <v>236</v>
      </c>
      <c r="I168" s="37" t="s">
        <v>235</v>
      </c>
      <c r="J168" s="36" t="s">
        <v>236</v>
      </c>
      <c r="K168" s="487"/>
      <c r="L168" s="487"/>
      <c r="M168" s="487"/>
      <c r="N168" s="47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9.45" customHeight="1" x14ac:dyDescent="0.3">
      <c r="A169" s="2"/>
      <c r="B169" s="481">
        <v>1</v>
      </c>
      <c r="C169" s="485" t="s">
        <v>369</v>
      </c>
      <c r="D169" s="26" t="s">
        <v>370</v>
      </c>
      <c r="E169" s="27" t="s">
        <v>371</v>
      </c>
      <c r="F169" s="24" t="s">
        <v>338</v>
      </c>
      <c r="G169" s="28">
        <v>45869</v>
      </c>
      <c r="H169" s="29">
        <v>43634</v>
      </c>
      <c r="I169" s="28">
        <v>45900</v>
      </c>
      <c r="J169" s="29">
        <v>44054</v>
      </c>
      <c r="K169" s="58">
        <v>1</v>
      </c>
      <c r="L169" s="48">
        <f>J169-H169</f>
        <v>420</v>
      </c>
      <c r="M169" s="49">
        <v>9.3540119834075899</v>
      </c>
      <c r="N169" s="50">
        <f>M169*L169*K169</f>
        <v>3928.6850330311877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9.45" customHeight="1" x14ac:dyDescent="0.3">
      <c r="A170" s="2"/>
      <c r="B170" s="481"/>
      <c r="C170" s="485"/>
      <c r="D170" s="490" t="s">
        <v>372</v>
      </c>
      <c r="E170" s="27" t="s">
        <v>373</v>
      </c>
      <c r="F170" s="24" t="s">
        <v>338</v>
      </c>
      <c r="G170" s="28">
        <v>45869</v>
      </c>
      <c r="H170" s="44">
        <v>1182.97</v>
      </c>
      <c r="I170" s="28">
        <v>45900</v>
      </c>
      <c r="J170" s="44">
        <v>1196.49</v>
      </c>
      <c r="K170" s="67">
        <v>40</v>
      </c>
      <c r="L170" s="48">
        <f>J170-H170</f>
        <v>13.519999999999982</v>
      </c>
      <c r="M170" s="49">
        <f>M169</f>
        <v>9.3540119834075899</v>
      </c>
      <c r="N170" s="50">
        <f>M170*L170*K170</f>
        <v>5058.6496806268178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9.45" customHeight="1" x14ac:dyDescent="0.3">
      <c r="A171" s="2"/>
      <c r="B171" s="482"/>
      <c r="C171" s="486"/>
      <c r="D171" s="491"/>
      <c r="E171" s="32"/>
      <c r="F171" s="33" t="s">
        <v>191</v>
      </c>
      <c r="G171" s="28">
        <v>45869</v>
      </c>
      <c r="H171" s="35">
        <v>1667</v>
      </c>
      <c r="I171" s="28">
        <v>45900</v>
      </c>
      <c r="J171" s="35">
        <v>1686</v>
      </c>
      <c r="K171" s="60">
        <v>1</v>
      </c>
      <c r="L171" s="52">
        <f>J171-H171</f>
        <v>19</v>
      </c>
      <c r="M171" s="68"/>
      <c r="N171" s="5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9.45" customHeight="1" x14ac:dyDescent="0.3">
      <c r="A172" s="2"/>
      <c r="B172" s="45"/>
      <c r="C172" s="46"/>
      <c r="D172" s="45"/>
      <c r="E172" s="19"/>
      <c r="F172" s="19"/>
      <c r="G172" s="19"/>
      <c r="H172" s="19"/>
      <c r="I172" s="19"/>
      <c r="J172" s="19"/>
      <c r="K172" s="19"/>
      <c r="L172" s="19"/>
      <c r="M172" s="61" t="s">
        <v>241</v>
      </c>
      <c r="N172" s="62">
        <f>SUM(N169:N171)</f>
        <v>8987.3347136580051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9.45" customHeight="1" x14ac:dyDescent="0.3">
      <c r="A173" s="2"/>
      <c r="B173" s="473" t="s">
        <v>270</v>
      </c>
      <c r="C173" s="473"/>
      <c r="D173" s="473"/>
      <c r="E173" s="473"/>
      <c r="F173" s="473"/>
      <c r="G173" s="473"/>
      <c r="H173" s="473"/>
      <c r="I173" s="473"/>
      <c r="J173" s="473"/>
      <c r="K173" s="473"/>
      <c r="L173" s="473"/>
      <c r="M173" s="473"/>
      <c r="N173" s="47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9.45" customHeight="1" x14ac:dyDescent="0.3">
      <c r="A174" s="2"/>
      <c r="B174" s="476" t="s">
        <v>224</v>
      </c>
      <c r="C174" s="476"/>
      <c r="D174" s="18"/>
      <c r="E174" s="477" t="s">
        <v>377</v>
      </c>
      <c r="F174" s="477"/>
      <c r="G174" s="477"/>
      <c r="H174" s="477"/>
      <c r="I174" s="477"/>
      <c r="J174" s="477"/>
      <c r="K174" s="477"/>
      <c r="L174" s="18"/>
      <c r="M174" s="19"/>
      <c r="N174" s="1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9.45" customHeight="1" x14ac:dyDescent="0.3">
      <c r="A175" s="2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9.45" customHeight="1" x14ac:dyDescent="0.3">
      <c r="A176" s="2"/>
      <c r="B176" s="479" t="s">
        <v>227</v>
      </c>
      <c r="C176" s="483" t="s">
        <v>228</v>
      </c>
      <c r="D176" s="483" t="s">
        <v>229</v>
      </c>
      <c r="E176" s="478" t="s">
        <v>230</v>
      </c>
      <c r="F176" s="478" t="s">
        <v>231</v>
      </c>
      <c r="G176" s="478" t="s">
        <v>232</v>
      </c>
      <c r="H176" s="478"/>
      <c r="I176" s="478"/>
      <c r="J176" s="478"/>
      <c r="K176" s="478" t="s">
        <v>9</v>
      </c>
      <c r="L176" s="478" t="s">
        <v>233</v>
      </c>
      <c r="M176" s="488" t="s">
        <v>234</v>
      </c>
      <c r="N176" s="474" t="s">
        <v>18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9.45" customHeight="1" x14ac:dyDescent="0.3">
      <c r="A177" s="2"/>
      <c r="B177" s="480"/>
      <c r="C177" s="484"/>
      <c r="D177" s="484"/>
      <c r="E177" s="487"/>
      <c r="F177" s="487"/>
      <c r="G177" s="37" t="s">
        <v>235</v>
      </c>
      <c r="H177" s="36" t="s">
        <v>236</v>
      </c>
      <c r="I177" s="37" t="s">
        <v>235</v>
      </c>
      <c r="J177" s="36" t="s">
        <v>236</v>
      </c>
      <c r="K177" s="487"/>
      <c r="L177" s="487"/>
      <c r="M177" s="487"/>
      <c r="N177" s="47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9.45" customHeight="1" x14ac:dyDescent="0.3">
      <c r="A178" s="2"/>
      <c r="B178" s="481">
        <v>1</v>
      </c>
      <c r="C178" s="485" t="s">
        <v>369</v>
      </c>
      <c r="D178" s="26" t="s">
        <v>370</v>
      </c>
      <c r="E178" s="27" t="s">
        <v>371</v>
      </c>
      <c r="F178" s="24" t="s">
        <v>338</v>
      </c>
      <c r="G178" s="28">
        <v>45900</v>
      </c>
      <c r="H178" s="29">
        <v>44054</v>
      </c>
      <c r="I178" s="28">
        <v>45930</v>
      </c>
      <c r="J178" s="29">
        <v>44449</v>
      </c>
      <c r="K178" s="58">
        <v>1</v>
      </c>
      <c r="L178" s="48">
        <f>J178-H178</f>
        <v>395</v>
      </c>
      <c r="M178" s="49">
        <v>8.6890000000000001</v>
      </c>
      <c r="N178" s="50">
        <f>M178*L178*K178</f>
        <v>3432.1550000000002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9.45" customHeight="1" x14ac:dyDescent="0.3">
      <c r="A179" s="2"/>
      <c r="B179" s="481"/>
      <c r="C179" s="485"/>
      <c r="D179" s="490" t="s">
        <v>372</v>
      </c>
      <c r="E179" s="27" t="s">
        <v>373</v>
      </c>
      <c r="F179" s="24" t="s">
        <v>338</v>
      </c>
      <c r="G179" s="28">
        <v>45900</v>
      </c>
      <c r="H179" s="44">
        <v>1196.49</v>
      </c>
      <c r="I179" s="28">
        <v>45930</v>
      </c>
      <c r="J179" s="44">
        <v>1211.42</v>
      </c>
      <c r="K179" s="67">
        <v>40</v>
      </c>
      <c r="L179" s="48">
        <f>J179-H179</f>
        <v>14.930000000000064</v>
      </c>
      <c r="M179" s="49">
        <f>M178</f>
        <v>8.6890000000000001</v>
      </c>
      <c r="N179" s="50">
        <f>M179*L179*K179</f>
        <v>5189.0708000000222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9.45" customHeight="1" x14ac:dyDescent="0.3">
      <c r="A180" s="2"/>
      <c r="B180" s="482"/>
      <c r="C180" s="486"/>
      <c r="D180" s="491"/>
      <c r="E180" s="32"/>
      <c r="F180" s="33" t="s">
        <v>191</v>
      </c>
      <c r="G180" s="28">
        <v>45900</v>
      </c>
      <c r="H180" s="35">
        <v>1686</v>
      </c>
      <c r="I180" s="28">
        <v>45930</v>
      </c>
      <c r="J180" s="35">
        <v>1705</v>
      </c>
      <c r="K180" s="60">
        <v>1</v>
      </c>
      <c r="L180" s="52">
        <f>J180-H180</f>
        <v>19</v>
      </c>
      <c r="M180" s="68"/>
      <c r="N180" s="5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9.45" customHeight="1" x14ac:dyDescent="0.3">
      <c r="A181" s="2"/>
      <c r="B181" s="45"/>
      <c r="C181" s="46"/>
      <c r="D181" s="45"/>
      <c r="E181" s="19"/>
      <c r="F181" s="19"/>
      <c r="G181" s="19"/>
      <c r="H181" s="19"/>
      <c r="I181" s="19"/>
      <c r="J181" s="19"/>
      <c r="K181" s="19"/>
      <c r="L181" s="19"/>
      <c r="M181" s="61" t="s">
        <v>241</v>
      </c>
      <c r="N181" s="62">
        <f>SUM(N178:N180)</f>
        <v>8621.225800000022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9.45" customHeight="1" x14ac:dyDescent="0.3">
      <c r="A182" s="2"/>
      <c r="B182" s="473" t="s">
        <v>271</v>
      </c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9.45" customHeight="1" x14ac:dyDescent="0.3">
      <c r="A183" s="2"/>
      <c r="B183" s="476" t="s">
        <v>224</v>
      </c>
      <c r="C183" s="476"/>
      <c r="D183" s="18"/>
      <c r="E183" s="477" t="s">
        <v>377</v>
      </c>
      <c r="F183" s="477"/>
      <c r="G183" s="477"/>
      <c r="H183" s="477"/>
      <c r="I183" s="477"/>
      <c r="J183" s="477"/>
      <c r="K183" s="477"/>
      <c r="L183" s="18"/>
      <c r="M183" s="19"/>
      <c r="N183" s="1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9.45" customHeight="1" x14ac:dyDescent="0.3">
      <c r="A184" s="2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9.45" customHeight="1" x14ac:dyDescent="0.3">
      <c r="A185" s="2"/>
      <c r="B185" s="479" t="s">
        <v>227</v>
      </c>
      <c r="C185" s="483" t="s">
        <v>228</v>
      </c>
      <c r="D185" s="483" t="s">
        <v>229</v>
      </c>
      <c r="E185" s="478" t="s">
        <v>230</v>
      </c>
      <c r="F185" s="478" t="s">
        <v>231</v>
      </c>
      <c r="G185" s="478" t="s">
        <v>232</v>
      </c>
      <c r="H185" s="478"/>
      <c r="I185" s="478"/>
      <c r="J185" s="478"/>
      <c r="K185" s="478" t="s">
        <v>9</v>
      </c>
      <c r="L185" s="478" t="s">
        <v>233</v>
      </c>
      <c r="M185" s="488" t="s">
        <v>234</v>
      </c>
      <c r="N185" s="474" t="s">
        <v>18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9.45" customHeight="1" x14ac:dyDescent="0.3">
      <c r="A186" s="2"/>
      <c r="B186" s="480"/>
      <c r="C186" s="484"/>
      <c r="D186" s="484"/>
      <c r="E186" s="487"/>
      <c r="F186" s="487"/>
      <c r="G186" s="37" t="s">
        <v>235</v>
      </c>
      <c r="H186" s="36" t="s">
        <v>236</v>
      </c>
      <c r="I186" s="37" t="s">
        <v>235</v>
      </c>
      <c r="J186" s="36" t="s">
        <v>236</v>
      </c>
      <c r="K186" s="487"/>
      <c r="L186" s="487"/>
      <c r="M186" s="487"/>
      <c r="N186" s="47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9.45" customHeight="1" x14ac:dyDescent="0.3">
      <c r="A187" s="2"/>
      <c r="B187" s="481">
        <v>1</v>
      </c>
      <c r="C187" s="485" t="s">
        <v>369</v>
      </c>
      <c r="D187" s="26" t="s">
        <v>370</v>
      </c>
      <c r="E187" s="27" t="s">
        <v>371</v>
      </c>
      <c r="F187" s="24" t="s">
        <v>338</v>
      </c>
      <c r="G187" s="28">
        <v>45930</v>
      </c>
      <c r="H187" s="29">
        <v>44449</v>
      </c>
      <c r="I187" s="28">
        <v>45961</v>
      </c>
      <c r="J187" s="29">
        <v>45098</v>
      </c>
      <c r="K187" s="58">
        <v>1</v>
      </c>
      <c r="L187" s="48">
        <f>J187-H187</f>
        <v>649</v>
      </c>
      <c r="M187" s="49">
        <v>11.045651986967799</v>
      </c>
      <c r="N187" s="50">
        <f>M187*L187*K187</f>
        <v>7168.628139542102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9.45" customHeight="1" x14ac:dyDescent="0.3">
      <c r="A188" s="2"/>
      <c r="B188" s="481"/>
      <c r="C188" s="485"/>
      <c r="D188" s="490" t="s">
        <v>372</v>
      </c>
      <c r="E188" s="27" t="s">
        <v>373</v>
      </c>
      <c r="F188" s="24" t="s">
        <v>338</v>
      </c>
      <c r="G188" s="28">
        <v>45930</v>
      </c>
      <c r="H188" s="44">
        <v>1211.42</v>
      </c>
      <c r="I188" s="28">
        <v>45961</v>
      </c>
      <c r="J188" s="44">
        <v>1252.8800000000001</v>
      </c>
      <c r="K188" s="67">
        <v>40</v>
      </c>
      <c r="L188" s="48">
        <f>J188-H188</f>
        <v>41.460000000000036</v>
      </c>
      <c r="M188" s="49">
        <f>M187</f>
        <v>11.045651986967799</v>
      </c>
      <c r="N188" s="50">
        <f>M188*L188*K188</f>
        <v>18318.109255187414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9.45" customHeight="1" x14ac:dyDescent="0.3">
      <c r="A189" s="2"/>
      <c r="B189" s="482"/>
      <c r="C189" s="486"/>
      <c r="D189" s="491"/>
      <c r="E189" s="32"/>
      <c r="F189" s="33" t="s">
        <v>191</v>
      </c>
      <c r="G189" s="28">
        <v>45930</v>
      </c>
      <c r="H189" s="35">
        <v>1705</v>
      </c>
      <c r="I189" s="28">
        <v>45961</v>
      </c>
      <c r="J189" s="35">
        <v>1725</v>
      </c>
      <c r="K189" s="60">
        <v>1</v>
      </c>
      <c r="L189" s="52">
        <f>J189-H189</f>
        <v>20</v>
      </c>
      <c r="M189" s="68"/>
      <c r="N189" s="5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9.45" customHeight="1" x14ac:dyDescent="0.3">
      <c r="A190" s="2"/>
      <c r="B190" s="45"/>
      <c r="C190" s="46"/>
      <c r="D190" s="45"/>
      <c r="E190" s="19"/>
      <c r="F190" s="19"/>
      <c r="G190" s="19"/>
      <c r="H190" s="19"/>
      <c r="I190" s="19"/>
      <c r="J190" s="19"/>
      <c r="K190" s="19"/>
      <c r="L190" s="19"/>
      <c r="M190" s="61" t="s">
        <v>241</v>
      </c>
      <c r="N190" s="62">
        <f>SUM(N187:N189)</f>
        <v>25486.737394729516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9.45" customHeight="1" x14ac:dyDescent="0.3">
      <c r="A191" s="2"/>
      <c r="B191" s="473" t="s">
        <v>272</v>
      </c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9.45" customHeight="1" x14ac:dyDescent="0.3">
      <c r="A192" s="2"/>
      <c r="B192" s="476" t="s">
        <v>224</v>
      </c>
      <c r="C192" s="476"/>
      <c r="D192" s="18"/>
      <c r="E192" s="477" t="s">
        <v>377</v>
      </c>
      <c r="F192" s="477"/>
      <c r="G192" s="477"/>
      <c r="H192" s="477"/>
      <c r="I192" s="477"/>
      <c r="J192" s="477"/>
      <c r="K192" s="477"/>
      <c r="L192" s="18"/>
      <c r="M192" s="19"/>
      <c r="N192" s="1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9.45" customHeight="1" x14ac:dyDescent="0.3">
      <c r="A193" s="2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9.45" customHeight="1" x14ac:dyDescent="0.3">
      <c r="A194" s="2"/>
      <c r="B194" s="479" t="s">
        <v>227</v>
      </c>
      <c r="C194" s="483" t="s">
        <v>228</v>
      </c>
      <c r="D194" s="483" t="s">
        <v>229</v>
      </c>
      <c r="E194" s="478" t="s">
        <v>230</v>
      </c>
      <c r="F194" s="478" t="s">
        <v>231</v>
      </c>
      <c r="G194" s="478" t="s">
        <v>232</v>
      </c>
      <c r="H194" s="478"/>
      <c r="I194" s="478"/>
      <c r="J194" s="478"/>
      <c r="K194" s="478" t="s">
        <v>9</v>
      </c>
      <c r="L194" s="478" t="s">
        <v>233</v>
      </c>
      <c r="M194" s="488" t="s">
        <v>234</v>
      </c>
      <c r="N194" s="474" t="s">
        <v>18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9.45" customHeight="1" x14ac:dyDescent="0.3">
      <c r="A195" s="2"/>
      <c r="B195" s="480"/>
      <c r="C195" s="484"/>
      <c r="D195" s="484"/>
      <c r="E195" s="487"/>
      <c r="F195" s="487"/>
      <c r="G195" s="37" t="s">
        <v>235</v>
      </c>
      <c r="H195" s="36" t="s">
        <v>236</v>
      </c>
      <c r="I195" s="37" t="s">
        <v>235</v>
      </c>
      <c r="J195" s="36" t="s">
        <v>236</v>
      </c>
      <c r="K195" s="487"/>
      <c r="L195" s="487"/>
      <c r="M195" s="487"/>
      <c r="N195" s="47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9.45" customHeight="1" x14ac:dyDescent="0.3">
      <c r="A196" s="2"/>
      <c r="B196" s="481">
        <v>1</v>
      </c>
      <c r="C196" s="485" t="s">
        <v>369</v>
      </c>
      <c r="D196" s="26" t="s">
        <v>370</v>
      </c>
      <c r="E196" s="27" t="s">
        <v>371</v>
      </c>
      <c r="F196" s="24" t="s">
        <v>338</v>
      </c>
      <c r="G196" s="28">
        <v>45961</v>
      </c>
      <c r="H196" s="29">
        <v>45098</v>
      </c>
      <c r="I196" s="28">
        <v>45991</v>
      </c>
      <c r="J196" s="29">
        <v>45649</v>
      </c>
      <c r="K196" s="58">
        <v>1</v>
      </c>
      <c r="L196" s="48">
        <f>J196-H196</f>
        <v>551</v>
      </c>
      <c r="M196" s="49">
        <v>11.566718434310101</v>
      </c>
      <c r="N196" s="50">
        <f>M196*L196*K196</f>
        <v>6373.2618573048658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9.45" customHeight="1" x14ac:dyDescent="0.3">
      <c r="A197" s="2"/>
      <c r="B197" s="481"/>
      <c r="C197" s="485"/>
      <c r="D197" s="490" t="s">
        <v>372</v>
      </c>
      <c r="E197" s="27" t="s">
        <v>373</v>
      </c>
      <c r="F197" s="24" t="s">
        <v>338</v>
      </c>
      <c r="G197" s="28">
        <v>45961</v>
      </c>
      <c r="H197" s="44">
        <v>1252.8800000000001</v>
      </c>
      <c r="I197" s="28">
        <v>45991</v>
      </c>
      <c r="J197" s="44">
        <v>1295.7</v>
      </c>
      <c r="K197" s="67">
        <v>40</v>
      </c>
      <c r="L197" s="48">
        <f>J197-H197</f>
        <v>42.819999999999936</v>
      </c>
      <c r="M197" s="49">
        <f>M196</f>
        <v>11.566718434310101</v>
      </c>
      <c r="N197" s="50">
        <f>M197*L197*K197</f>
        <v>19811.475334286311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9.45" customHeight="1" x14ac:dyDescent="0.3">
      <c r="A198" s="2"/>
      <c r="B198" s="482"/>
      <c r="C198" s="486"/>
      <c r="D198" s="491"/>
      <c r="E198" s="32"/>
      <c r="F198" s="33" t="s">
        <v>191</v>
      </c>
      <c r="G198" s="28">
        <v>45961</v>
      </c>
      <c r="H198" s="35">
        <v>1725</v>
      </c>
      <c r="I198" s="28">
        <v>45991</v>
      </c>
      <c r="J198" s="35">
        <v>1744</v>
      </c>
      <c r="K198" s="60">
        <v>1</v>
      </c>
      <c r="L198" s="52">
        <f>J198-H198</f>
        <v>19</v>
      </c>
      <c r="M198" s="68"/>
      <c r="N198" s="5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9.45" customHeight="1" x14ac:dyDescent="0.3">
      <c r="A199" s="2"/>
      <c r="B199" s="45"/>
      <c r="C199" s="46"/>
      <c r="D199" s="45"/>
      <c r="E199" s="19"/>
      <c r="F199" s="19"/>
      <c r="G199" s="19"/>
      <c r="H199" s="19"/>
      <c r="I199" s="19"/>
      <c r="J199" s="19"/>
      <c r="K199" s="19"/>
      <c r="L199" s="19"/>
      <c r="M199" s="61" t="s">
        <v>241</v>
      </c>
      <c r="N199" s="62">
        <f>SUM(N196:N198)</f>
        <v>26184.737191591179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9.45" customHeight="1" x14ac:dyDescent="0.3">
      <c r="A200" s="2"/>
      <c r="B200" s="473" t="s">
        <v>273</v>
      </c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9.45" customHeight="1" x14ac:dyDescent="0.3">
      <c r="A201" s="2"/>
      <c r="B201" s="476" t="s">
        <v>224</v>
      </c>
      <c r="C201" s="476"/>
      <c r="D201" s="18"/>
      <c r="E201" s="477" t="s">
        <v>377</v>
      </c>
      <c r="F201" s="477"/>
      <c r="G201" s="477"/>
      <c r="H201" s="477"/>
      <c r="I201" s="477"/>
      <c r="J201" s="477"/>
      <c r="K201" s="477"/>
      <c r="L201" s="18"/>
      <c r="M201" s="19"/>
      <c r="N201" s="1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9.45" customHeight="1" x14ac:dyDescent="0.3">
      <c r="A202" s="2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9.45" customHeight="1" x14ac:dyDescent="0.3">
      <c r="A203" s="2"/>
      <c r="B203" s="479" t="s">
        <v>227</v>
      </c>
      <c r="C203" s="483" t="s">
        <v>228</v>
      </c>
      <c r="D203" s="483" t="s">
        <v>229</v>
      </c>
      <c r="E203" s="478" t="s">
        <v>230</v>
      </c>
      <c r="F203" s="478" t="s">
        <v>231</v>
      </c>
      <c r="G203" s="478" t="s">
        <v>232</v>
      </c>
      <c r="H203" s="478"/>
      <c r="I203" s="478"/>
      <c r="J203" s="478"/>
      <c r="K203" s="478" t="s">
        <v>9</v>
      </c>
      <c r="L203" s="478" t="s">
        <v>233</v>
      </c>
      <c r="M203" s="488" t="s">
        <v>234</v>
      </c>
      <c r="N203" s="474" t="s">
        <v>18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9.45" customHeight="1" x14ac:dyDescent="0.3">
      <c r="A204" s="2"/>
      <c r="B204" s="480"/>
      <c r="C204" s="484"/>
      <c r="D204" s="484"/>
      <c r="E204" s="487"/>
      <c r="F204" s="487"/>
      <c r="G204" s="37" t="s">
        <v>235</v>
      </c>
      <c r="H204" s="36" t="s">
        <v>236</v>
      </c>
      <c r="I204" s="37" t="s">
        <v>235</v>
      </c>
      <c r="J204" s="36" t="s">
        <v>236</v>
      </c>
      <c r="K204" s="487"/>
      <c r="L204" s="487"/>
      <c r="M204" s="487"/>
      <c r="N204" s="47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9.45" customHeight="1" x14ac:dyDescent="0.3">
      <c r="A205" s="2"/>
      <c r="B205" s="481">
        <v>1</v>
      </c>
      <c r="C205" s="485" t="s">
        <v>369</v>
      </c>
      <c r="D205" s="26" t="s">
        <v>370</v>
      </c>
      <c r="E205" s="27" t="s">
        <v>371</v>
      </c>
      <c r="F205" s="24" t="s">
        <v>338</v>
      </c>
      <c r="G205" s="28">
        <v>45991</v>
      </c>
      <c r="H205" s="29">
        <v>45649</v>
      </c>
      <c r="I205" s="28">
        <v>46022</v>
      </c>
      <c r="J205" s="29">
        <v>46135</v>
      </c>
      <c r="K205" s="58">
        <v>1</v>
      </c>
      <c r="L205" s="48">
        <f>J205-H205</f>
        <v>486</v>
      </c>
      <c r="M205" s="49">
        <f>субаренда!AE72</f>
        <v>13.886111999999999</v>
      </c>
      <c r="N205" s="50">
        <f>M205*L205*K205</f>
        <v>6748.6504319999995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9.45" customHeight="1" x14ac:dyDescent="0.3">
      <c r="A206" s="2"/>
      <c r="B206" s="481"/>
      <c r="C206" s="485"/>
      <c r="D206" s="490" t="s">
        <v>372</v>
      </c>
      <c r="E206" s="27" t="s">
        <v>373</v>
      </c>
      <c r="F206" s="24" t="s">
        <v>338</v>
      </c>
      <c r="G206" s="28">
        <v>45991</v>
      </c>
      <c r="H206" s="44">
        <v>1295.7</v>
      </c>
      <c r="I206" s="28">
        <v>46022</v>
      </c>
      <c r="J206" s="44">
        <v>1356.87</v>
      </c>
      <c r="K206" s="67">
        <v>40</v>
      </c>
      <c r="L206" s="48">
        <f>J206-H206</f>
        <v>61.169999999999845</v>
      </c>
      <c r="M206" s="49">
        <f>M205</f>
        <v>13.886111999999999</v>
      </c>
      <c r="N206" s="50">
        <f>M206*L206*K206</f>
        <v>33976.538841599911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9.45" customHeight="1" x14ac:dyDescent="0.3">
      <c r="A207" s="2"/>
      <c r="B207" s="482"/>
      <c r="C207" s="486"/>
      <c r="D207" s="491"/>
      <c r="E207" s="32"/>
      <c r="F207" s="33" t="s">
        <v>191</v>
      </c>
      <c r="G207" s="28">
        <v>45991</v>
      </c>
      <c r="H207" s="35">
        <v>1744</v>
      </c>
      <c r="I207" s="28">
        <v>46022</v>
      </c>
      <c r="J207" s="35"/>
      <c r="K207" s="60">
        <v>1</v>
      </c>
      <c r="L207" s="52">
        <f>J207-H207</f>
        <v>-1744</v>
      </c>
      <c r="M207" s="68"/>
      <c r="N207" s="5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9.45" customHeight="1" x14ac:dyDescent="0.3">
      <c r="A208" s="2"/>
      <c r="B208" s="45"/>
      <c r="C208" s="46"/>
      <c r="D208" s="45"/>
      <c r="E208" s="19"/>
      <c r="F208" s="19"/>
      <c r="G208" s="19"/>
      <c r="H208" s="19"/>
      <c r="I208" s="19"/>
      <c r="J208" s="19"/>
      <c r="K208" s="19"/>
      <c r="L208" s="19"/>
      <c r="M208" s="61" t="s">
        <v>241</v>
      </c>
      <c r="N208" s="62">
        <f>SUM(N205:N207)</f>
        <v>40725.189273599914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9.4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9.45" customHeight="1" x14ac:dyDescent="0.3">
      <c r="A210" s="2"/>
      <c r="B210" s="499" t="s">
        <v>388</v>
      </c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9.45" customHeight="1" x14ac:dyDescent="0.3">
      <c r="A211" s="2"/>
      <c r="B211" s="476" t="s">
        <v>224</v>
      </c>
      <c r="C211" s="476"/>
      <c r="D211" s="18"/>
      <c r="E211" s="477" t="s">
        <v>377</v>
      </c>
      <c r="F211" s="477"/>
      <c r="G211" s="477"/>
      <c r="H211" s="477"/>
      <c r="I211" s="477"/>
      <c r="J211" s="477"/>
      <c r="K211" s="477"/>
      <c r="L211" s="18"/>
      <c r="M211" s="19"/>
      <c r="N211" s="1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9.45" customHeight="1" thickBot="1" x14ac:dyDescent="0.35">
      <c r="A212" s="2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9.45" customHeight="1" x14ac:dyDescent="0.3">
      <c r="A213" s="2"/>
      <c r="B213" s="479" t="s">
        <v>227</v>
      </c>
      <c r="C213" s="483" t="s">
        <v>228</v>
      </c>
      <c r="D213" s="483" t="s">
        <v>229</v>
      </c>
      <c r="E213" s="478" t="s">
        <v>230</v>
      </c>
      <c r="F213" s="478" t="s">
        <v>231</v>
      </c>
      <c r="G213" s="478" t="s">
        <v>232</v>
      </c>
      <c r="H213" s="478"/>
      <c r="I213" s="478"/>
      <c r="J213" s="478"/>
      <c r="K213" s="478" t="s">
        <v>9</v>
      </c>
      <c r="L213" s="478" t="s">
        <v>233</v>
      </c>
      <c r="M213" s="488" t="s">
        <v>234</v>
      </c>
      <c r="N213" s="474" t="s">
        <v>18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9.45" customHeight="1" x14ac:dyDescent="0.3">
      <c r="A214" s="2"/>
      <c r="B214" s="480"/>
      <c r="C214" s="484"/>
      <c r="D214" s="484"/>
      <c r="E214" s="487"/>
      <c r="F214" s="487"/>
      <c r="G214" s="37" t="s">
        <v>235</v>
      </c>
      <c r="H214" s="36" t="s">
        <v>236</v>
      </c>
      <c r="I214" s="37" t="s">
        <v>235</v>
      </c>
      <c r="J214" s="36" t="s">
        <v>236</v>
      </c>
      <c r="K214" s="487"/>
      <c r="L214" s="487"/>
      <c r="M214" s="487"/>
      <c r="N214" s="47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9.45" customHeight="1" x14ac:dyDescent="0.3">
      <c r="A215" s="2"/>
      <c r="B215" s="481">
        <v>1</v>
      </c>
      <c r="C215" s="485" t="s">
        <v>369</v>
      </c>
      <c r="D215" s="26" t="s">
        <v>370</v>
      </c>
      <c r="E215" s="27" t="s">
        <v>371</v>
      </c>
      <c r="F215" s="24" t="s">
        <v>338</v>
      </c>
      <c r="G215" s="28">
        <v>46022</v>
      </c>
      <c r="H215" s="29">
        <v>46135</v>
      </c>
      <c r="I215" s="28">
        <v>46053</v>
      </c>
      <c r="J215" s="29">
        <v>46740</v>
      </c>
      <c r="K215" s="58">
        <v>1</v>
      </c>
      <c r="L215" s="48">
        <f>J215-H215</f>
        <v>605</v>
      </c>
      <c r="M215" s="49">
        <f>1.2*11.57176</f>
        <v>13.886111999999999</v>
      </c>
      <c r="N215" s="50">
        <f>M215*L215*K215</f>
        <v>8401.0977599999987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9.45" customHeight="1" x14ac:dyDescent="0.3">
      <c r="A216" s="2"/>
      <c r="B216" s="481"/>
      <c r="C216" s="485"/>
      <c r="D216" s="490" t="s">
        <v>372</v>
      </c>
      <c r="E216" s="27" t="s">
        <v>373</v>
      </c>
      <c r="F216" s="24" t="s">
        <v>338</v>
      </c>
      <c r="G216" s="28">
        <v>46022</v>
      </c>
      <c r="H216" s="44">
        <v>1356.87</v>
      </c>
      <c r="I216" s="28">
        <v>46053</v>
      </c>
      <c r="J216" s="44">
        <v>1502.36</v>
      </c>
      <c r="K216" s="67">
        <v>40</v>
      </c>
      <c r="L216" s="48">
        <f>J216-H216</f>
        <v>145.49</v>
      </c>
      <c r="M216" s="49">
        <f>M215</f>
        <v>13.886111999999999</v>
      </c>
      <c r="N216" s="50">
        <f>M216*L216*K216</f>
        <v>80811.617395199995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9.45" customHeight="1" thickBot="1" x14ac:dyDescent="0.35">
      <c r="A217" s="2"/>
      <c r="B217" s="482"/>
      <c r="C217" s="486"/>
      <c r="D217" s="491"/>
      <c r="E217" s="32"/>
      <c r="F217" s="33" t="s">
        <v>191</v>
      </c>
      <c r="G217" s="28">
        <v>46022</v>
      </c>
      <c r="H217" s="35"/>
      <c r="I217" s="28">
        <v>46053</v>
      </c>
      <c r="J217" s="35"/>
      <c r="K217" s="60">
        <v>1</v>
      </c>
      <c r="L217" s="52">
        <f>J217-H217</f>
        <v>0</v>
      </c>
      <c r="M217" s="68"/>
      <c r="N217" s="5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9.45" customHeight="1" thickBot="1" x14ac:dyDescent="0.35">
      <c r="A218" s="2"/>
      <c r="B218" s="45"/>
      <c r="C218" s="46"/>
      <c r="D218" s="45"/>
      <c r="E218" s="19"/>
      <c r="F218" s="19"/>
      <c r="G218" s="19"/>
      <c r="H218" s="19"/>
      <c r="I218" s="19"/>
      <c r="J218" s="19"/>
      <c r="K218" s="19"/>
      <c r="L218" s="19"/>
      <c r="M218" s="61" t="s">
        <v>241</v>
      </c>
      <c r="N218" s="62">
        <f>SUM(N215:N217)</f>
        <v>89212.7151552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9.4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9.4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9.4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9.4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9.4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9.4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9.4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9.4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9.4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9.4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9.4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9.4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9.4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9.4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9.4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9.4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9.4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9.4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9.4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9.4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9.4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9.4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9.4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9.4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9.4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9.4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9.4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9.4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9.4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9.4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9.4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9.4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9.4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9.4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9.4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9.4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9.4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9.4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9.4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9.4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9.4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9.4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9.4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9.4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9.4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9.4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9.4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9.4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9.4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9.4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9.4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9.4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9.4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9.4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9.4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9.4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9.4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9.4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9.4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9.4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9.4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9.4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9.4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9.4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9.4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9.4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9.4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9.4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9.4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9.4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9.4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9.4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9.4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9.4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9.4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9.4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9.4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9.4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9.4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9.4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9.4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9.4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9.4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9.4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9.4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9.4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9.4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9.4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9.4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9.4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9.4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9.4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9.4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9.4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9.4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9.4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9.4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9.4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9.4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9.4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9.4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9.4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9.4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9.4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9.4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9.4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9.4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9.4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9.4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9.4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9.4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9.4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9.4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9.4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9.4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9.4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9.4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9.4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9.4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9.4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9.4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9.4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9.4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9.4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9.4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9.4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9.4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9.4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9.4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9.4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9.4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9.4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9.4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9.4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9.4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9.4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9.4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9.4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9.4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9.4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9.4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9.4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9.4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9.4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9.4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9.4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9.4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9.4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9.4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9.4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9.4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9.4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9.4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9.4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9.4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9.4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9.4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9.4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9.4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9.4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9.4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9.4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9.4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9.4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9.4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9.4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9.4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9.4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9.4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9.4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9.4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9.4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9.4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9.4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9.4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9.4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9.4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9.4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9.4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9.4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9.4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9.4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9.4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9.4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9.4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9.4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9.4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9.4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9.4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9.4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9.4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9.4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9.4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9.4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9.4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9.4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9.4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9.4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9.4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9.4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9.4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9.4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9.4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9.4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9.4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9.4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9.4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9.4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9.4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9.4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9.4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9.4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9.4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9.4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9.4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9.4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9.4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9.4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9.4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9.4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9.4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9.4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9.4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9.4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9.4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9.4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9.4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9.4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9.4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9.4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9.4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9.4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9.4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9.4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9.4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9.4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9.4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9.4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9.4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9.4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9.4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9.4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9.4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9.4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9.4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9.4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9.4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9.4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9.4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9.4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9.4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9.4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9.4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9.4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9.4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9.4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9.4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9.4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9.4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9.4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9.4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9.4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9.4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9.4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9.4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9.4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9.4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9.4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9.4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9.4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9.4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9.4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9.4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9.4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9.4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9.4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9.4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9.4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9.4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9.4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9.4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9.4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9.4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9.4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9.4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9.4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9.4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9.4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9.4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9.4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9.4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9.4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9.4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9.4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9.4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9.4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9.4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9.4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9.4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9.4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9.4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9.4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9.4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9.4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9.4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9.4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9.4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9.4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9.4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9.4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9.4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9.4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9.4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9.4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9.4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9.4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9.4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9.4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9.4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9.4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9.4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9.4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9.4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9.4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9.4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9.4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9.4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9.4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9.4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9.4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9.4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9.4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9.4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9.4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9.4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9.4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9.4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9.4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9.4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9.4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9.4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9.4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9.4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9.4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9.4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9.4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9.4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9.4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9.4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9.4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9.4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9.4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9.4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9.4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9.4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9.4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9.4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9.4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9.4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9.4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9.4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9.4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9.4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9.4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9.4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9.4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9.4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9.4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9.4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9.4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9.4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9.4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9.4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9.4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9.4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9.4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9.4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9.4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9.4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9.4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9.4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9.4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9.4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9.4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9.4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9.4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9.4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9.4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9.4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9.4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9.4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9.4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9.4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9.4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9.4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9.4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9.4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9.4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9.4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9.4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9.4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9.4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9.4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9.4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9.4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9.4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9.4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9.4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9.4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9.4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9.4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9.4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9.4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9.4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9.4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9.4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9.4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9.4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9.4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9.4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9.4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9.4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9.4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9.4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9.4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9.4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9.4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9.4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9.4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9.4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9.4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9.4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9.4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9.4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9.4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9.4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9.4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9.4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9.4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9.4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9.4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9.4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9.4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9.4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9.4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9.4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9.4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9.4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9.4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9.4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9.4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9.4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9.4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9.4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9.4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9.4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9.4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9.4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9.4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9.4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9.4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9.4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9.4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9.4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9.4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9.4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9.4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9.4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9.4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9.4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9.4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9.4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9.4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9.4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9.4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9.4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9.4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9.4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9.4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9.4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9.4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9.4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9.4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9.4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9.4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9.4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9.4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9.4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9.4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9.4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9.4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9.4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9.4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9.4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9.4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9.4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9.4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9.4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9.4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9.4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9.4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9.4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9.4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9.4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9.4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9.4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9.4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9.4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9.4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9.4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9.4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9.4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9.4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9.4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9.4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9.4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9.4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9.4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9.4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9.4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9.4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9.4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9.4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9.4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9.4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9.4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9.4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9.4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9.4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9.4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9.4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9.4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9.4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9.4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9.4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9.4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9.4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9.4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9.4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9.4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9.4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9.4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9.4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9.4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9.4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9.4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9.4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9.4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9.4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9.4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9.4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9.4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</sheetData>
  <mergeCells count="360">
    <mergeCell ref="B215:B217"/>
    <mergeCell ref="C215:C217"/>
    <mergeCell ref="D216:D217"/>
    <mergeCell ref="B210:N210"/>
    <mergeCell ref="B211:C211"/>
    <mergeCell ref="E211:K211"/>
    <mergeCell ref="B213:B214"/>
    <mergeCell ref="C213:C214"/>
    <mergeCell ref="D213:D214"/>
    <mergeCell ref="E213:E214"/>
    <mergeCell ref="F213:F214"/>
    <mergeCell ref="G213:J213"/>
    <mergeCell ref="K213:K214"/>
    <mergeCell ref="L213:L214"/>
    <mergeCell ref="M213:M214"/>
    <mergeCell ref="N213:N214"/>
    <mergeCell ref="B3:N3"/>
    <mergeCell ref="B4:C4"/>
    <mergeCell ref="E4:K4"/>
    <mergeCell ref="G6:J6"/>
    <mergeCell ref="B11:N11"/>
    <mergeCell ref="B12:C12"/>
    <mergeCell ref="E12:K12"/>
    <mergeCell ref="G14:J14"/>
    <mergeCell ref="B20:N20"/>
    <mergeCell ref="K6:K7"/>
    <mergeCell ref="K14:K15"/>
    <mergeCell ref="N6:N7"/>
    <mergeCell ref="N14:N15"/>
    <mergeCell ref="B21:C21"/>
    <mergeCell ref="E21:K21"/>
    <mergeCell ref="G23:J23"/>
    <mergeCell ref="B28:N28"/>
    <mergeCell ref="B29:C29"/>
    <mergeCell ref="E29:K29"/>
    <mergeCell ref="G31:J31"/>
    <mergeCell ref="B37:N37"/>
    <mergeCell ref="B38:C38"/>
    <mergeCell ref="E38:K38"/>
    <mergeCell ref="K23:K24"/>
    <mergeCell ref="K31:K32"/>
    <mergeCell ref="N23:N24"/>
    <mergeCell ref="N31:N32"/>
    <mergeCell ref="G40:J40"/>
    <mergeCell ref="B47:N47"/>
    <mergeCell ref="B48:C48"/>
    <mergeCell ref="E48:K48"/>
    <mergeCell ref="G50:J50"/>
    <mergeCell ref="B57:N57"/>
    <mergeCell ref="B58:C58"/>
    <mergeCell ref="E58:K58"/>
    <mergeCell ref="G60:J60"/>
    <mergeCell ref="K40:K41"/>
    <mergeCell ref="K50:K51"/>
    <mergeCell ref="K60:K61"/>
    <mergeCell ref="N40:N41"/>
    <mergeCell ref="N50:N51"/>
    <mergeCell ref="N60:N61"/>
    <mergeCell ref="B67:N67"/>
    <mergeCell ref="B68:C68"/>
    <mergeCell ref="E68:K68"/>
    <mergeCell ref="G70:J70"/>
    <mergeCell ref="B77:N77"/>
    <mergeCell ref="B78:C78"/>
    <mergeCell ref="E78:K78"/>
    <mergeCell ref="G80:J80"/>
    <mergeCell ref="B87:N87"/>
    <mergeCell ref="K70:K71"/>
    <mergeCell ref="K80:K81"/>
    <mergeCell ref="N70:N71"/>
    <mergeCell ref="N80:N81"/>
    <mergeCell ref="B88:C88"/>
    <mergeCell ref="E88:K88"/>
    <mergeCell ref="G90:J90"/>
    <mergeCell ref="B97:N97"/>
    <mergeCell ref="B98:C98"/>
    <mergeCell ref="E98:K98"/>
    <mergeCell ref="G100:J100"/>
    <mergeCell ref="B107:N107"/>
    <mergeCell ref="B108:C108"/>
    <mergeCell ref="E108:K108"/>
    <mergeCell ref="C102:C104"/>
    <mergeCell ref="K90:K91"/>
    <mergeCell ref="K100:K101"/>
    <mergeCell ref="N90:N91"/>
    <mergeCell ref="N100:N101"/>
    <mergeCell ref="D100:D101"/>
    <mergeCell ref="D103:D104"/>
    <mergeCell ref="G110:J110"/>
    <mergeCell ref="B117:N117"/>
    <mergeCell ref="B118:C118"/>
    <mergeCell ref="E118:K118"/>
    <mergeCell ref="G120:J120"/>
    <mergeCell ref="B126:N126"/>
    <mergeCell ref="B127:C127"/>
    <mergeCell ref="E127:K127"/>
    <mergeCell ref="G129:J129"/>
    <mergeCell ref="B120:B121"/>
    <mergeCell ref="B122:B124"/>
    <mergeCell ref="B129:B130"/>
    <mergeCell ref="C110:C111"/>
    <mergeCell ref="C112:C114"/>
    <mergeCell ref="C120:C121"/>
    <mergeCell ref="C122:C124"/>
    <mergeCell ref="C129:C130"/>
    <mergeCell ref="D123:D124"/>
    <mergeCell ref="D129:D130"/>
    <mergeCell ref="K110:K111"/>
    <mergeCell ref="K120:K121"/>
    <mergeCell ref="K129:K130"/>
    <mergeCell ref="N110:N111"/>
    <mergeCell ref="N120:N121"/>
    <mergeCell ref="E155:K155"/>
    <mergeCell ref="G157:J157"/>
    <mergeCell ref="B164:N164"/>
    <mergeCell ref="B165:C165"/>
    <mergeCell ref="E165:K165"/>
    <mergeCell ref="G167:J167"/>
    <mergeCell ref="B173:N173"/>
    <mergeCell ref="B174:C174"/>
    <mergeCell ref="E174:K174"/>
    <mergeCell ref="K157:K158"/>
    <mergeCell ref="K167:K168"/>
    <mergeCell ref="C185:C186"/>
    <mergeCell ref="C187:C189"/>
    <mergeCell ref="C194:C195"/>
    <mergeCell ref="D176:D177"/>
    <mergeCell ref="D179:D180"/>
    <mergeCell ref="D185:D186"/>
    <mergeCell ref="D188:D189"/>
    <mergeCell ref="D194:D195"/>
    <mergeCell ref="B155:C155"/>
    <mergeCell ref="D160:D161"/>
    <mergeCell ref="D167:D168"/>
    <mergeCell ref="D170:D171"/>
    <mergeCell ref="B201:C201"/>
    <mergeCell ref="E201:K201"/>
    <mergeCell ref="G203:J203"/>
    <mergeCell ref="B6:B7"/>
    <mergeCell ref="B14:B15"/>
    <mergeCell ref="B23:B24"/>
    <mergeCell ref="B31:B32"/>
    <mergeCell ref="B40:B41"/>
    <mergeCell ref="B42:B44"/>
    <mergeCell ref="B50:B51"/>
    <mergeCell ref="B52:B54"/>
    <mergeCell ref="B60:B61"/>
    <mergeCell ref="B62:B64"/>
    <mergeCell ref="B70:B71"/>
    <mergeCell ref="B72:B74"/>
    <mergeCell ref="B80:B81"/>
    <mergeCell ref="B82:B84"/>
    <mergeCell ref="B90:B91"/>
    <mergeCell ref="B92:B94"/>
    <mergeCell ref="B100:B101"/>
    <mergeCell ref="B102:B104"/>
    <mergeCell ref="B110:B111"/>
    <mergeCell ref="B112:B114"/>
    <mergeCell ref="G176:J176"/>
    <mergeCell ref="B131:B133"/>
    <mergeCell ref="B139:B140"/>
    <mergeCell ref="B141:B143"/>
    <mergeCell ref="B148:B149"/>
    <mergeCell ref="B150:B152"/>
    <mergeCell ref="B157:B158"/>
    <mergeCell ref="B159:B161"/>
    <mergeCell ref="B167:B168"/>
    <mergeCell ref="B169:B171"/>
    <mergeCell ref="B136:N136"/>
    <mergeCell ref="B137:C137"/>
    <mergeCell ref="E137:K137"/>
    <mergeCell ref="G139:J139"/>
    <mergeCell ref="B145:N145"/>
    <mergeCell ref="B146:C146"/>
    <mergeCell ref="E146:K146"/>
    <mergeCell ref="G148:J148"/>
    <mergeCell ref="B154:N154"/>
    <mergeCell ref="K139:K140"/>
    <mergeCell ref="K148:K149"/>
    <mergeCell ref="C131:C133"/>
    <mergeCell ref="C139:C140"/>
    <mergeCell ref="C141:C143"/>
    <mergeCell ref="C148:C149"/>
    <mergeCell ref="B196:B198"/>
    <mergeCell ref="B203:B204"/>
    <mergeCell ref="B205:B207"/>
    <mergeCell ref="C6:C7"/>
    <mergeCell ref="C8:C9"/>
    <mergeCell ref="C14:C15"/>
    <mergeCell ref="C16:C17"/>
    <mergeCell ref="C23:C24"/>
    <mergeCell ref="C25:C26"/>
    <mergeCell ref="C31:C32"/>
    <mergeCell ref="C33:C34"/>
    <mergeCell ref="C40:C41"/>
    <mergeCell ref="C42:C44"/>
    <mergeCell ref="C50:C51"/>
    <mergeCell ref="C52:C54"/>
    <mergeCell ref="C60:C61"/>
    <mergeCell ref="C62:C64"/>
    <mergeCell ref="C70:C71"/>
    <mergeCell ref="C72:C74"/>
    <mergeCell ref="C80:C81"/>
    <mergeCell ref="C82:C84"/>
    <mergeCell ref="C90:C91"/>
    <mergeCell ref="C92:C94"/>
    <mergeCell ref="C100:C101"/>
    <mergeCell ref="C150:C152"/>
    <mergeCell ref="C157:C158"/>
    <mergeCell ref="C159:C161"/>
    <mergeCell ref="C167:C168"/>
    <mergeCell ref="C169:C171"/>
    <mergeCell ref="C196:C198"/>
    <mergeCell ref="C203:C204"/>
    <mergeCell ref="C205:C207"/>
    <mergeCell ref="D6:D7"/>
    <mergeCell ref="D14:D15"/>
    <mergeCell ref="D23:D24"/>
    <mergeCell ref="D31:D32"/>
    <mergeCell ref="D40:D41"/>
    <mergeCell ref="D43:D44"/>
    <mergeCell ref="D50:D51"/>
    <mergeCell ref="D53:D54"/>
    <mergeCell ref="D60:D61"/>
    <mergeCell ref="D63:D64"/>
    <mergeCell ref="D70:D71"/>
    <mergeCell ref="D73:D74"/>
    <mergeCell ref="D80:D81"/>
    <mergeCell ref="D83:D84"/>
    <mergeCell ref="D90:D91"/>
    <mergeCell ref="D93:D94"/>
    <mergeCell ref="D110:D111"/>
    <mergeCell ref="D113:D114"/>
    <mergeCell ref="D120:D121"/>
    <mergeCell ref="D132:D133"/>
    <mergeCell ref="D139:D140"/>
    <mergeCell ref="D142:D143"/>
    <mergeCell ref="D148:D149"/>
    <mergeCell ref="D151:D152"/>
    <mergeCell ref="D157:D158"/>
    <mergeCell ref="D197:D198"/>
    <mergeCell ref="D203:D204"/>
    <mergeCell ref="D206:D207"/>
    <mergeCell ref="E6:E7"/>
    <mergeCell ref="E14:E15"/>
    <mergeCell ref="E23:E24"/>
    <mergeCell ref="E31:E32"/>
    <mergeCell ref="E40:E41"/>
    <mergeCell ref="E50:E51"/>
    <mergeCell ref="E60:E61"/>
    <mergeCell ref="E70:E71"/>
    <mergeCell ref="E80:E81"/>
    <mergeCell ref="E90:E91"/>
    <mergeCell ref="E100:E101"/>
    <mergeCell ref="E110:E111"/>
    <mergeCell ref="E120:E121"/>
    <mergeCell ref="E129:E130"/>
    <mergeCell ref="E139:E140"/>
    <mergeCell ref="E148:E149"/>
    <mergeCell ref="E157:E158"/>
    <mergeCell ref="E167:E168"/>
    <mergeCell ref="E176:E177"/>
    <mergeCell ref="E185:E186"/>
    <mergeCell ref="E194:E195"/>
    <mergeCell ref="E203:E204"/>
    <mergeCell ref="F6:F7"/>
    <mergeCell ref="F14:F15"/>
    <mergeCell ref="F23:F24"/>
    <mergeCell ref="F31:F32"/>
    <mergeCell ref="F40:F41"/>
    <mergeCell ref="F50:F51"/>
    <mergeCell ref="F60:F61"/>
    <mergeCell ref="F70:F71"/>
    <mergeCell ref="F80:F81"/>
    <mergeCell ref="F90:F91"/>
    <mergeCell ref="F100:F101"/>
    <mergeCell ref="F110:F111"/>
    <mergeCell ref="F120:F121"/>
    <mergeCell ref="F129:F130"/>
    <mergeCell ref="F139:F140"/>
    <mergeCell ref="F148:F149"/>
    <mergeCell ref="F157:F158"/>
    <mergeCell ref="F167:F168"/>
    <mergeCell ref="F176:F177"/>
    <mergeCell ref="F185:F186"/>
    <mergeCell ref="F194:F195"/>
    <mergeCell ref="F203:F204"/>
    <mergeCell ref="B200:N200"/>
    <mergeCell ref="K176:K177"/>
    <mergeCell ref="K185:K186"/>
    <mergeCell ref="K194:K195"/>
    <mergeCell ref="K203:K204"/>
    <mergeCell ref="L6:L7"/>
    <mergeCell ref="L14:L15"/>
    <mergeCell ref="L23:L24"/>
    <mergeCell ref="L31:L32"/>
    <mergeCell ref="L40:L41"/>
    <mergeCell ref="L50:L51"/>
    <mergeCell ref="L60:L61"/>
    <mergeCell ref="L70:L71"/>
    <mergeCell ref="L80:L81"/>
    <mergeCell ref="L90:L91"/>
    <mergeCell ref="L100:L101"/>
    <mergeCell ref="L110:L111"/>
    <mergeCell ref="L120:L121"/>
    <mergeCell ref="L129:L130"/>
    <mergeCell ref="L139:L140"/>
    <mergeCell ref="L148:L149"/>
    <mergeCell ref="L157:L158"/>
    <mergeCell ref="L167:L168"/>
    <mergeCell ref="L176:L177"/>
    <mergeCell ref="L185:L186"/>
    <mergeCell ref="L194:L195"/>
    <mergeCell ref="L203:L204"/>
    <mergeCell ref="M6:M7"/>
    <mergeCell ref="M14:M15"/>
    <mergeCell ref="M23:M24"/>
    <mergeCell ref="M31:M32"/>
    <mergeCell ref="M40:M41"/>
    <mergeCell ref="M50:M51"/>
    <mergeCell ref="M60:M61"/>
    <mergeCell ref="M70:M71"/>
    <mergeCell ref="M80:M81"/>
    <mergeCell ref="M90:M91"/>
    <mergeCell ref="M100:M101"/>
    <mergeCell ref="M110:M111"/>
    <mergeCell ref="M120:M121"/>
    <mergeCell ref="M129:M130"/>
    <mergeCell ref="M139:M140"/>
    <mergeCell ref="M148:M149"/>
    <mergeCell ref="M157:M158"/>
    <mergeCell ref="M167:M168"/>
    <mergeCell ref="M176:M177"/>
    <mergeCell ref="M185:M186"/>
    <mergeCell ref="M194:M195"/>
    <mergeCell ref="M203:M204"/>
    <mergeCell ref="N129:N130"/>
    <mergeCell ref="N139:N140"/>
    <mergeCell ref="N148:N149"/>
    <mergeCell ref="N157:N158"/>
    <mergeCell ref="N167:N168"/>
    <mergeCell ref="N176:N177"/>
    <mergeCell ref="N185:N186"/>
    <mergeCell ref="N194:N195"/>
    <mergeCell ref="N203:N204"/>
    <mergeCell ref="B182:N182"/>
    <mergeCell ref="B183:C183"/>
    <mergeCell ref="E183:K183"/>
    <mergeCell ref="G185:J185"/>
    <mergeCell ref="B191:N191"/>
    <mergeCell ref="B192:C192"/>
    <mergeCell ref="E192:K192"/>
    <mergeCell ref="G194:J194"/>
    <mergeCell ref="B176:B177"/>
    <mergeCell ref="B178:B180"/>
    <mergeCell ref="B185:B186"/>
    <mergeCell ref="B187:B189"/>
    <mergeCell ref="B194:B195"/>
    <mergeCell ref="C176:C177"/>
    <mergeCell ref="C178:C180"/>
  </mergeCells>
  <pageMargins left="0.25" right="0.25" top="0.75" bottom="0.75" header="0.3" footer="0.3"/>
  <pageSetup paperSize="9" scale="61" firstPageNumber="0" fitToHeight="0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субаренда</vt:lpstr>
      <vt:lpstr>М3</vt:lpstr>
      <vt:lpstr>М5</vt:lpstr>
      <vt:lpstr>М11</vt:lpstr>
      <vt:lpstr>М40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Plyh</dc:creator>
  <cp:lastModifiedBy>Кавакін Анатолій Ігорович</cp:lastModifiedBy>
  <cp:lastPrinted>2026-01-15T12:38:00Z</cp:lastPrinted>
  <dcterms:created xsi:type="dcterms:W3CDTF">2019-05-30T11:07:00Z</dcterms:created>
  <dcterms:modified xsi:type="dcterms:W3CDTF">2026-06-25T08:08:03Z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70FED2A8A50940F39B627EFC31CEF240_12</vt:lpwstr>
  </property>
  <property fmtid="{D5CDD505-2E9C-101B-9397-08002B2CF9AE}" pid="3" name="KSOProductBuildVer">
    <vt:lpwstr>1049-12.2.0.23196</vt:lpwstr>
  </property>
</Properties>
</file>