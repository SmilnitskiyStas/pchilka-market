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yalty\source\PchilkaWebApp\docs\лічільники\"/>
    </mc:Choice>
  </mc:AlternateContent>
  <bookViews>
    <workbookView xWindow="0" yWindow="0" windowWidth="28800" windowHeight="12300" activeTab="7"/>
  </bookViews>
  <sheets>
    <sheet name="Жовтень" sheetId="11" r:id="rId1"/>
    <sheet name="Листопад" sheetId="12" r:id="rId2"/>
    <sheet name="грудень" sheetId="13" r:id="rId3"/>
    <sheet name="січень" sheetId="14" r:id="rId4"/>
    <sheet name="лютий " sheetId="15" r:id="rId5"/>
    <sheet name="березень" sheetId="17" r:id="rId6"/>
    <sheet name="квітень" sheetId="18" r:id="rId7"/>
    <sheet name="травень" sheetId="19" r:id="rId8"/>
  </sheets>
  <calcPr calcId="162913" refMode="R1C1"/>
</workbook>
</file>

<file path=xl/calcChain.xml><?xml version="1.0" encoding="utf-8"?>
<calcChain xmlns="http://schemas.openxmlformats.org/spreadsheetml/2006/main">
  <c r="B2" i="18" l="1"/>
  <c r="L37" i="18"/>
  <c r="B5" i="19"/>
  <c r="D3" i="18"/>
  <c r="B2" i="19"/>
  <c r="L34" i="19" s="1"/>
  <c r="K36" i="19"/>
  <c r="G34" i="19"/>
  <c r="I34" i="19" s="1"/>
  <c r="J28" i="19"/>
  <c r="K28" i="19" s="1"/>
  <c r="G27" i="19"/>
  <c r="I27" i="19" s="1"/>
  <c r="L26" i="19"/>
  <c r="G25" i="19"/>
  <c r="I25" i="19" s="1"/>
  <c r="J25" i="19" s="1"/>
  <c r="K25" i="19" s="1"/>
  <c r="G24" i="19"/>
  <c r="I24" i="19" s="1"/>
  <c r="K24" i="19" s="1"/>
  <c r="G23" i="19"/>
  <c r="I23" i="19" s="1"/>
  <c r="K23" i="19" s="1"/>
  <c r="G22" i="19"/>
  <c r="I22" i="19" s="1"/>
  <c r="K22" i="19" s="1"/>
  <c r="G21" i="19"/>
  <c r="I21" i="19" s="1"/>
  <c r="K21" i="19" s="1"/>
  <c r="G20" i="19"/>
  <c r="I20" i="19" s="1"/>
  <c r="J20" i="19" s="1"/>
  <c r="K20" i="19" s="1"/>
  <c r="L20" i="19" s="1"/>
  <c r="G19" i="19"/>
  <c r="I19" i="19" s="1"/>
  <c r="J19" i="19" s="1"/>
  <c r="K19" i="19" s="1"/>
  <c r="L19" i="19" s="1"/>
  <c r="G18" i="19"/>
  <c r="I18" i="19" s="1"/>
  <c r="J18" i="19" s="1"/>
  <c r="K18" i="19" s="1"/>
  <c r="G17" i="19"/>
  <c r="I17" i="19" s="1"/>
  <c r="J17" i="19" s="1"/>
  <c r="K17" i="19" s="1"/>
  <c r="G16" i="19"/>
  <c r="I16" i="19" s="1"/>
  <c r="J16" i="19" s="1"/>
  <c r="K16" i="19" s="1"/>
  <c r="G15" i="19"/>
  <c r="I15" i="19" s="1"/>
  <c r="J15" i="19" s="1"/>
  <c r="K15" i="19" s="1"/>
  <c r="G14" i="19"/>
  <c r="I14" i="19" s="1"/>
  <c r="G13" i="19"/>
  <c r="I13" i="19" s="1"/>
  <c r="B6" i="19"/>
  <c r="B7" i="19" s="1"/>
  <c r="K2" i="19"/>
  <c r="B5" i="18"/>
  <c r="K36" i="18"/>
  <c r="G34" i="18"/>
  <c r="I34" i="18" s="1"/>
  <c r="J28" i="18"/>
  <c r="K28" i="18" s="1"/>
  <c r="G27" i="18"/>
  <c r="I27" i="18" s="1"/>
  <c r="G25" i="18"/>
  <c r="I25" i="18" s="1"/>
  <c r="J25" i="18" s="1"/>
  <c r="K25" i="18" s="1"/>
  <c r="G24" i="18"/>
  <c r="I24" i="18" s="1"/>
  <c r="K24" i="18" s="1"/>
  <c r="G23" i="18"/>
  <c r="I23" i="18" s="1"/>
  <c r="K23" i="18" s="1"/>
  <c r="G22" i="18"/>
  <c r="I22" i="18" s="1"/>
  <c r="K22" i="18" s="1"/>
  <c r="G21" i="18"/>
  <c r="I21" i="18" s="1"/>
  <c r="K21" i="18" s="1"/>
  <c r="G20" i="18"/>
  <c r="I20" i="18" s="1"/>
  <c r="J20" i="18" s="1"/>
  <c r="K20" i="18" s="1"/>
  <c r="L20" i="18" s="1"/>
  <c r="G19" i="18"/>
  <c r="I19" i="18" s="1"/>
  <c r="J19" i="18" s="1"/>
  <c r="K19" i="18" s="1"/>
  <c r="L19" i="18" s="1"/>
  <c r="G18" i="18"/>
  <c r="I18" i="18" s="1"/>
  <c r="J18" i="18" s="1"/>
  <c r="K18" i="18" s="1"/>
  <c r="G17" i="18"/>
  <c r="I17" i="18" s="1"/>
  <c r="J17" i="18" s="1"/>
  <c r="K17" i="18" s="1"/>
  <c r="G16" i="18"/>
  <c r="I16" i="18" s="1"/>
  <c r="J16" i="18" s="1"/>
  <c r="K16" i="18" s="1"/>
  <c r="G15" i="18"/>
  <c r="I15" i="18" s="1"/>
  <c r="J15" i="18" s="1"/>
  <c r="K15" i="18" s="1"/>
  <c r="G14" i="18"/>
  <c r="I14" i="18" s="1"/>
  <c r="G13" i="18"/>
  <c r="I13" i="18" s="1"/>
  <c r="L26" i="18"/>
  <c r="L34" i="18"/>
  <c r="B5" i="17"/>
  <c r="B6" i="17" s="1"/>
  <c r="B7" i="17" s="1"/>
  <c r="K36" i="17"/>
  <c r="G34" i="17"/>
  <c r="I34" i="17" s="1"/>
  <c r="J28" i="17"/>
  <c r="K28" i="17" s="1"/>
  <c r="G27" i="17"/>
  <c r="I27" i="17" s="1"/>
  <c r="G25" i="17"/>
  <c r="I25" i="17" s="1"/>
  <c r="J25" i="17" s="1"/>
  <c r="K25" i="17" s="1"/>
  <c r="G24" i="17"/>
  <c r="I24" i="17" s="1"/>
  <c r="K24" i="17" s="1"/>
  <c r="G23" i="17"/>
  <c r="I23" i="17" s="1"/>
  <c r="K23" i="17" s="1"/>
  <c r="G22" i="17"/>
  <c r="I22" i="17" s="1"/>
  <c r="K22" i="17" s="1"/>
  <c r="G21" i="17"/>
  <c r="I21" i="17" s="1"/>
  <c r="K21" i="17" s="1"/>
  <c r="G20" i="17"/>
  <c r="I20" i="17" s="1"/>
  <c r="J20" i="17" s="1"/>
  <c r="K20" i="17" s="1"/>
  <c r="L20" i="17" s="1"/>
  <c r="G19" i="17"/>
  <c r="I19" i="17" s="1"/>
  <c r="J19" i="17" s="1"/>
  <c r="K19" i="17" s="1"/>
  <c r="L19" i="17" s="1"/>
  <c r="G18" i="17"/>
  <c r="I18" i="17" s="1"/>
  <c r="J18" i="17" s="1"/>
  <c r="K18" i="17" s="1"/>
  <c r="G17" i="17"/>
  <c r="I17" i="17" s="1"/>
  <c r="J17" i="17" s="1"/>
  <c r="K17" i="17" s="1"/>
  <c r="G16" i="17"/>
  <c r="I16" i="17" s="1"/>
  <c r="J16" i="17" s="1"/>
  <c r="K16" i="17" s="1"/>
  <c r="G15" i="17"/>
  <c r="I15" i="17" s="1"/>
  <c r="J15" i="17" s="1"/>
  <c r="K15" i="17" s="1"/>
  <c r="G14" i="17"/>
  <c r="G13" i="17"/>
  <c r="I13" i="17" s="1"/>
  <c r="L26" i="17"/>
  <c r="B2" i="17"/>
  <c r="L34" i="17" s="1"/>
  <c r="B5" i="15"/>
  <c r="B6" i="15" s="1"/>
  <c r="B2" i="15"/>
  <c r="L34" i="15" s="1"/>
  <c r="L17" i="19" l="1"/>
  <c r="L21" i="19"/>
  <c r="L25" i="19"/>
  <c r="L15" i="19"/>
  <c r="L23" i="19"/>
  <c r="L16" i="19"/>
  <c r="L24" i="19"/>
  <c r="L18" i="19"/>
  <c r="L22" i="19"/>
  <c r="D3" i="19"/>
  <c r="I36" i="19"/>
  <c r="D4" i="19"/>
  <c r="K3" i="19"/>
  <c r="K4" i="19" s="1"/>
  <c r="K5" i="19" s="1"/>
  <c r="B6" i="18"/>
  <c r="B7" i="18" s="1"/>
  <c r="L21" i="18"/>
  <c r="L23" i="18"/>
  <c r="L25" i="18"/>
  <c r="L17" i="18"/>
  <c r="L22" i="18"/>
  <c r="L24" i="18"/>
  <c r="L15" i="18"/>
  <c r="L18" i="18"/>
  <c r="L16" i="18"/>
  <c r="I36" i="18"/>
  <c r="D4" i="18"/>
  <c r="K3" i="18"/>
  <c r="L16" i="17"/>
  <c r="L21" i="17"/>
  <c r="L23" i="17"/>
  <c r="B7" i="15"/>
  <c r="I14" i="17"/>
  <c r="D3" i="17" s="1"/>
  <c r="L25" i="17"/>
  <c r="L15" i="17"/>
  <c r="L17" i="17"/>
  <c r="L18" i="17"/>
  <c r="L22" i="17"/>
  <c r="L24" i="17"/>
  <c r="D4" i="17"/>
  <c r="K3" i="17"/>
  <c r="I36" i="17"/>
  <c r="K36" i="15"/>
  <c r="G34" i="15"/>
  <c r="I34" i="15" s="1"/>
  <c r="K3" i="15" s="1"/>
  <c r="J28" i="15"/>
  <c r="G27" i="15"/>
  <c r="I27" i="15" s="1"/>
  <c r="G25" i="15"/>
  <c r="I25" i="15" s="1"/>
  <c r="J25" i="15" s="1"/>
  <c r="K25" i="15" s="1"/>
  <c r="L25" i="15" s="1"/>
  <c r="G24" i="15"/>
  <c r="I24" i="15" s="1"/>
  <c r="K24" i="15" s="1"/>
  <c r="L24" i="15" s="1"/>
  <c r="G23" i="15"/>
  <c r="I23" i="15" s="1"/>
  <c r="K23" i="15" s="1"/>
  <c r="L23" i="15" s="1"/>
  <c r="G22" i="15"/>
  <c r="I22" i="15" s="1"/>
  <c r="K22" i="15" s="1"/>
  <c r="L22" i="15" s="1"/>
  <c r="G21" i="15"/>
  <c r="I21" i="15" s="1"/>
  <c r="K21" i="15" s="1"/>
  <c r="L21" i="15" s="1"/>
  <c r="G20" i="15"/>
  <c r="I20" i="15" s="1"/>
  <c r="J20" i="15" s="1"/>
  <c r="K20" i="15" s="1"/>
  <c r="L20" i="15" s="1"/>
  <c r="G19" i="15"/>
  <c r="I19" i="15" s="1"/>
  <c r="J19" i="15" s="1"/>
  <c r="K19" i="15" s="1"/>
  <c r="L19" i="15" s="1"/>
  <c r="G18" i="15"/>
  <c r="I18" i="15" s="1"/>
  <c r="J18" i="15" s="1"/>
  <c r="K18" i="15" s="1"/>
  <c r="L18" i="15" s="1"/>
  <c r="G17" i="15"/>
  <c r="I17" i="15" s="1"/>
  <c r="J17" i="15" s="1"/>
  <c r="K17" i="15" s="1"/>
  <c r="L17" i="15" s="1"/>
  <c r="G16" i="15"/>
  <c r="I16" i="15" s="1"/>
  <c r="J16" i="15" s="1"/>
  <c r="K16" i="15" s="1"/>
  <c r="L16" i="15" s="1"/>
  <c r="G15" i="15"/>
  <c r="I15" i="15" s="1"/>
  <c r="G14" i="15"/>
  <c r="I14" i="15" s="1"/>
  <c r="D3" i="15" s="1"/>
  <c r="G13" i="15"/>
  <c r="B5" i="14"/>
  <c r="B6" i="14" s="1"/>
  <c r="B2" i="14"/>
  <c r="D5" i="19" l="1"/>
  <c r="E5" i="19" s="1"/>
  <c r="F5" i="19" s="1"/>
  <c r="K29" i="19" s="1"/>
  <c r="E4" i="19"/>
  <c r="G4" i="19" s="1"/>
  <c r="G5" i="19"/>
  <c r="J29" i="19" s="1"/>
  <c r="E4" i="18"/>
  <c r="F4" i="18" s="1"/>
  <c r="D5" i="18"/>
  <c r="E5" i="18" s="1"/>
  <c r="E4" i="17"/>
  <c r="D5" i="17"/>
  <c r="E5" i="17" s="1"/>
  <c r="F5" i="17" s="1"/>
  <c r="K29" i="17" s="1"/>
  <c r="D4" i="15"/>
  <c r="E4" i="15" s="1"/>
  <c r="F4" i="15" s="1"/>
  <c r="K28" i="15"/>
  <c r="L26" i="15"/>
  <c r="I36" i="15"/>
  <c r="J15" i="15"/>
  <c r="K15" i="15" s="1"/>
  <c r="L15" i="15" s="1"/>
  <c r="B7" i="14"/>
  <c r="H5" i="19" l="1"/>
  <c r="F4" i="19"/>
  <c r="H4" i="19" s="1"/>
  <c r="L29" i="19"/>
  <c r="G4" i="18"/>
  <c r="H4" i="18" s="1"/>
  <c r="F5" i="18"/>
  <c r="G5" i="18"/>
  <c r="J29" i="18" s="1"/>
  <c r="F4" i="17"/>
  <c r="G4" i="17"/>
  <c r="D5" i="15"/>
  <c r="G5" i="17"/>
  <c r="J29" i="17" s="1"/>
  <c r="L29" i="17" s="1"/>
  <c r="G4" i="15"/>
  <c r="H4" i="15" s="1"/>
  <c r="K36" i="14"/>
  <c r="G34" i="14"/>
  <c r="I34" i="14" s="1"/>
  <c r="K3" i="14" s="1"/>
  <c r="J28" i="14"/>
  <c r="G27" i="14"/>
  <c r="I27" i="14" s="1"/>
  <c r="G25" i="14"/>
  <c r="I25" i="14" s="1"/>
  <c r="J25" i="14" s="1"/>
  <c r="K25" i="14" s="1"/>
  <c r="L25" i="14" s="1"/>
  <c r="G24" i="14"/>
  <c r="I24" i="14" s="1"/>
  <c r="K24" i="14" s="1"/>
  <c r="L24" i="14" s="1"/>
  <c r="G23" i="14"/>
  <c r="I23" i="14" s="1"/>
  <c r="K23" i="14" s="1"/>
  <c r="L23" i="14" s="1"/>
  <c r="G22" i="14"/>
  <c r="I22" i="14" s="1"/>
  <c r="K22" i="14" s="1"/>
  <c r="L22" i="14" s="1"/>
  <c r="G21" i="14"/>
  <c r="I21" i="14" s="1"/>
  <c r="K21" i="14" s="1"/>
  <c r="L21" i="14" s="1"/>
  <c r="G20" i="14"/>
  <c r="I20" i="14" s="1"/>
  <c r="J20" i="14" s="1"/>
  <c r="K20" i="14" s="1"/>
  <c r="L20" i="14" s="1"/>
  <c r="G19" i="14"/>
  <c r="I19" i="14" s="1"/>
  <c r="J19" i="14" s="1"/>
  <c r="K19" i="14" s="1"/>
  <c r="L19" i="14" s="1"/>
  <c r="G18" i="14"/>
  <c r="I18" i="14" s="1"/>
  <c r="J18" i="14" s="1"/>
  <c r="K18" i="14" s="1"/>
  <c r="L18" i="14" s="1"/>
  <c r="G17" i="14"/>
  <c r="I17" i="14" s="1"/>
  <c r="J17" i="14" s="1"/>
  <c r="K17" i="14" s="1"/>
  <c r="L17" i="14" s="1"/>
  <c r="G16" i="14"/>
  <c r="I16" i="14" s="1"/>
  <c r="J16" i="14" s="1"/>
  <c r="K16" i="14" s="1"/>
  <c r="L16" i="14" s="1"/>
  <c r="G15" i="14"/>
  <c r="I15" i="14" s="1"/>
  <c r="G14" i="14"/>
  <c r="I14" i="14" s="1"/>
  <c r="D3" i="14" s="1"/>
  <c r="G13" i="14"/>
  <c r="L26" i="14"/>
  <c r="K36" i="13"/>
  <c r="G34" i="13"/>
  <c r="I34" i="13" s="1"/>
  <c r="J28" i="13"/>
  <c r="G27" i="13"/>
  <c r="I27" i="13" s="1"/>
  <c r="G25" i="13"/>
  <c r="I25" i="13" s="1"/>
  <c r="J25" i="13" s="1"/>
  <c r="K25" i="13" s="1"/>
  <c r="G24" i="13"/>
  <c r="I24" i="13" s="1"/>
  <c r="K24" i="13" s="1"/>
  <c r="G23" i="13"/>
  <c r="I23" i="13" s="1"/>
  <c r="K23" i="13" s="1"/>
  <c r="G22" i="13"/>
  <c r="I22" i="13" s="1"/>
  <c r="K22" i="13" s="1"/>
  <c r="G21" i="13"/>
  <c r="I21" i="13" s="1"/>
  <c r="K21" i="13" s="1"/>
  <c r="G20" i="13"/>
  <c r="I20" i="13" s="1"/>
  <c r="J20" i="13" s="1"/>
  <c r="K20" i="13" s="1"/>
  <c r="L20" i="13" s="1"/>
  <c r="G19" i="13"/>
  <c r="I19" i="13" s="1"/>
  <c r="J19" i="13" s="1"/>
  <c r="K19" i="13" s="1"/>
  <c r="L19" i="13" s="1"/>
  <c r="G18" i="13"/>
  <c r="I18" i="13" s="1"/>
  <c r="J18" i="13" s="1"/>
  <c r="K18" i="13" s="1"/>
  <c r="G17" i="13"/>
  <c r="I17" i="13" s="1"/>
  <c r="J17" i="13" s="1"/>
  <c r="K17" i="13" s="1"/>
  <c r="G16" i="13"/>
  <c r="I16" i="13" s="1"/>
  <c r="J16" i="13" s="1"/>
  <c r="K16" i="13" s="1"/>
  <c r="G15" i="13"/>
  <c r="I15" i="13" s="1"/>
  <c r="G14" i="13"/>
  <c r="I14" i="13" s="1"/>
  <c r="D3" i="13" s="1"/>
  <c r="G13" i="13"/>
  <c r="B5" i="13"/>
  <c r="L26" i="13" s="1"/>
  <c r="C3" i="13"/>
  <c r="B2" i="13"/>
  <c r="B1" i="13"/>
  <c r="J34" i="12"/>
  <c r="J36" i="12" s="1"/>
  <c r="G34" i="12"/>
  <c r="I34" i="12" s="1"/>
  <c r="D4" i="12" s="1"/>
  <c r="J28" i="12"/>
  <c r="G27" i="12"/>
  <c r="I27" i="12" s="1"/>
  <c r="G25" i="12"/>
  <c r="I25" i="12" s="1"/>
  <c r="J25" i="12" s="1"/>
  <c r="K25" i="12" s="1"/>
  <c r="G24" i="12"/>
  <c r="I24" i="12" s="1"/>
  <c r="K24" i="12" s="1"/>
  <c r="G23" i="12"/>
  <c r="I23" i="12" s="1"/>
  <c r="K23" i="12" s="1"/>
  <c r="G22" i="12"/>
  <c r="I22" i="12" s="1"/>
  <c r="K22" i="12" s="1"/>
  <c r="G21" i="12"/>
  <c r="I21" i="12" s="1"/>
  <c r="K21" i="12" s="1"/>
  <c r="G20" i="12"/>
  <c r="I20" i="12" s="1"/>
  <c r="J20" i="12" s="1"/>
  <c r="K20" i="12" s="1"/>
  <c r="L20" i="12" s="1"/>
  <c r="G19" i="12"/>
  <c r="I19" i="12" s="1"/>
  <c r="J19" i="12" s="1"/>
  <c r="K19" i="12" s="1"/>
  <c r="G18" i="12"/>
  <c r="I18" i="12" s="1"/>
  <c r="J18" i="12" s="1"/>
  <c r="K18" i="12" s="1"/>
  <c r="G17" i="12"/>
  <c r="I17" i="12" s="1"/>
  <c r="J17" i="12" s="1"/>
  <c r="K17" i="12" s="1"/>
  <c r="G16" i="12"/>
  <c r="I16" i="12" s="1"/>
  <c r="J16" i="12" s="1"/>
  <c r="K16" i="12" s="1"/>
  <c r="G15" i="12"/>
  <c r="I15" i="12" s="1"/>
  <c r="G14" i="12"/>
  <c r="I14" i="12" s="1"/>
  <c r="D3" i="12" s="1"/>
  <c r="G13" i="12"/>
  <c r="B5" i="12"/>
  <c r="B3" i="12"/>
  <c r="C3" i="12" s="1"/>
  <c r="B1" i="12"/>
  <c r="G34" i="11"/>
  <c r="I34" i="11" s="1"/>
  <c r="G25" i="11"/>
  <c r="I25" i="11" s="1"/>
  <c r="J25" i="11" s="1"/>
  <c r="K25" i="11" s="1"/>
  <c r="G24" i="11"/>
  <c r="I24" i="11" s="1"/>
  <c r="J24" i="11" s="1"/>
  <c r="K24" i="11" s="1"/>
  <c r="G23" i="11"/>
  <c r="I23" i="11" s="1"/>
  <c r="J23" i="11" s="1"/>
  <c r="K23" i="11" s="1"/>
  <c r="G22" i="11"/>
  <c r="I22" i="11" s="1"/>
  <c r="J22" i="11" s="1"/>
  <c r="K22" i="11" s="1"/>
  <c r="G21" i="11"/>
  <c r="I21" i="11" s="1"/>
  <c r="J21" i="11" s="1"/>
  <c r="K21" i="11" s="1"/>
  <c r="G20" i="11"/>
  <c r="I20" i="11" s="1"/>
  <c r="J20" i="11" s="1"/>
  <c r="K20" i="11" s="1"/>
  <c r="L20" i="11" s="1"/>
  <c r="G19" i="11"/>
  <c r="I19" i="11" s="1"/>
  <c r="J19" i="11" s="1"/>
  <c r="K19" i="11" s="1"/>
  <c r="L19" i="11" s="1"/>
  <c r="G18" i="11"/>
  <c r="I18" i="11" s="1"/>
  <c r="J18" i="11" s="1"/>
  <c r="K18" i="11" s="1"/>
  <c r="G17" i="11"/>
  <c r="I17" i="11" s="1"/>
  <c r="J17" i="11" s="1"/>
  <c r="K17" i="11" s="1"/>
  <c r="G16" i="11"/>
  <c r="I16" i="11" s="1"/>
  <c r="J16" i="11" s="1"/>
  <c r="K16" i="11" s="1"/>
  <c r="G15" i="11"/>
  <c r="I15" i="11" s="1"/>
  <c r="G14" i="11"/>
  <c r="I14" i="11" s="1"/>
  <c r="G13" i="11"/>
  <c r="I13" i="11" s="1"/>
  <c r="B5" i="11"/>
  <c r="C3" i="11"/>
  <c r="B2" i="11"/>
  <c r="B1" i="11"/>
  <c r="L37" i="19" l="1"/>
  <c r="H7" i="19"/>
  <c r="H4" i="17"/>
  <c r="L37" i="17" s="1"/>
  <c r="I28" i="12"/>
  <c r="K28" i="12" s="1"/>
  <c r="L24" i="11"/>
  <c r="D5" i="12"/>
  <c r="E5" i="12" s="1"/>
  <c r="F5" i="12" s="1"/>
  <c r="L17" i="11"/>
  <c r="L21" i="11"/>
  <c r="L23" i="11"/>
  <c r="K29" i="18"/>
  <c r="L29" i="18" s="1"/>
  <c r="H5" i="18"/>
  <c r="H7" i="18" s="1"/>
  <c r="K3" i="11"/>
  <c r="K4" i="11" s="1"/>
  <c r="K5" i="11" s="1"/>
  <c r="K2" i="18" s="1"/>
  <c r="K4" i="18" s="1"/>
  <c r="K5" i="18" s="1"/>
  <c r="D4" i="11"/>
  <c r="L17" i="13"/>
  <c r="L21" i="13"/>
  <c r="L23" i="13"/>
  <c r="L25" i="13"/>
  <c r="D3" i="11"/>
  <c r="L16" i="11"/>
  <c r="L18" i="11"/>
  <c r="L22" i="11"/>
  <c r="L25" i="11"/>
  <c r="B2" i="12"/>
  <c r="L23" i="12" s="1"/>
  <c r="L16" i="13"/>
  <c r="L18" i="13"/>
  <c r="L22" i="13"/>
  <c r="L24" i="13"/>
  <c r="H5" i="17"/>
  <c r="H7" i="17" s="1"/>
  <c r="I27" i="11"/>
  <c r="J15" i="11"/>
  <c r="B6" i="11"/>
  <c r="L26" i="11"/>
  <c r="I36" i="11"/>
  <c r="J34" i="11"/>
  <c r="L35" i="11"/>
  <c r="L35" i="12"/>
  <c r="L26" i="12"/>
  <c r="B6" i="12"/>
  <c r="L19" i="12"/>
  <c r="I28" i="13"/>
  <c r="K28" i="13" s="1"/>
  <c r="E4" i="12"/>
  <c r="F4" i="12" s="1"/>
  <c r="K3" i="12"/>
  <c r="I36" i="12"/>
  <c r="I36" i="13"/>
  <c r="K3" i="13"/>
  <c r="D4" i="13"/>
  <c r="E4" i="13" s="1"/>
  <c r="L37" i="15"/>
  <c r="J15" i="12"/>
  <c r="K15" i="12" s="1"/>
  <c r="J15" i="13"/>
  <c r="K15" i="13" s="1"/>
  <c r="L15" i="13" s="1"/>
  <c r="E5" i="15"/>
  <c r="G5" i="15" s="1"/>
  <c r="J29" i="15" s="1"/>
  <c r="K34" i="12"/>
  <c r="B6" i="13"/>
  <c r="I28" i="14"/>
  <c r="K28" i="14" s="1"/>
  <c r="J15" i="14"/>
  <c r="K15" i="14" s="1"/>
  <c r="L15" i="14" s="1"/>
  <c r="I36" i="14"/>
  <c r="D4" i="14"/>
  <c r="E4" i="14" s="1"/>
  <c r="F4" i="14" s="1"/>
  <c r="K2" i="14" l="1"/>
  <c r="K4" i="14" s="1"/>
  <c r="K5" i="14" s="1"/>
  <c r="I39" i="12"/>
  <c r="L25" i="12"/>
  <c r="G5" i="12"/>
  <c r="H5" i="12" s="1"/>
  <c r="K2" i="15"/>
  <c r="K4" i="15" s="1"/>
  <c r="K5" i="15" s="1"/>
  <c r="L24" i="12"/>
  <c r="L18" i="12"/>
  <c r="L21" i="12"/>
  <c r="L17" i="12"/>
  <c r="D5" i="14"/>
  <c r="E5" i="14" s="1"/>
  <c r="F5" i="14" s="1"/>
  <c r="K29" i="14" s="1"/>
  <c r="K2" i="13"/>
  <c r="K4" i="13" s="1"/>
  <c r="K5" i="13" s="1"/>
  <c r="K2" i="12"/>
  <c r="K4" i="12" s="1"/>
  <c r="K5" i="12" s="1"/>
  <c r="K2" i="17"/>
  <c r="K4" i="17" s="1"/>
  <c r="K5" i="17" s="1"/>
  <c r="E4" i="11"/>
  <c r="F4" i="11" s="1"/>
  <c r="F5" i="15"/>
  <c r="H5" i="15" s="1"/>
  <c r="H7" i="15" s="1"/>
  <c r="L15" i="12"/>
  <c r="L22" i="12"/>
  <c r="L16" i="12"/>
  <c r="D5" i="11"/>
  <c r="E5" i="11" s="1"/>
  <c r="G4" i="12"/>
  <c r="H4" i="12" s="1"/>
  <c r="K36" i="12"/>
  <c r="K39" i="12" s="1"/>
  <c r="L34" i="12"/>
  <c r="L37" i="12" s="1"/>
  <c r="G4" i="13"/>
  <c r="L35" i="13" s="1"/>
  <c r="F4" i="13"/>
  <c r="D5" i="13"/>
  <c r="E5" i="13" s="1"/>
  <c r="J36" i="11"/>
  <c r="K34" i="11"/>
  <c r="J27" i="11"/>
  <c r="K15" i="11"/>
  <c r="G4" i="14"/>
  <c r="L35" i="14" s="1"/>
  <c r="J34" i="14"/>
  <c r="G4" i="11" l="1"/>
  <c r="H7" i="12"/>
  <c r="H4" i="14"/>
  <c r="G5" i="14"/>
  <c r="J29" i="14" s="1"/>
  <c r="K29" i="15"/>
  <c r="L29" i="15" s="1"/>
  <c r="L29" i="12"/>
  <c r="F5" i="11"/>
  <c r="G5" i="11"/>
  <c r="H4" i="11"/>
  <c r="J34" i="13"/>
  <c r="H4" i="13"/>
  <c r="K27" i="11"/>
  <c r="L15" i="11"/>
  <c r="L28" i="11" s="1"/>
  <c r="K36" i="11"/>
  <c r="L34" i="11"/>
  <c r="L37" i="11" s="1"/>
  <c r="F5" i="13"/>
  <c r="G5" i="13"/>
  <c r="J29" i="13" s="1"/>
  <c r="L29" i="14"/>
  <c r="L34" i="14"/>
  <c r="L37" i="14" s="1"/>
  <c r="J36" i="14"/>
  <c r="H5" i="14" l="1"/>
  <c r="H7" i="14" s="1"/>
  <c r="H5" i="11"/>
  <c r="H7" i="11" s="1"/>
  <c r="H5" i="13"/>
  <c r="K29" i="13"/>
  <c r="L29" i="13" s="1"/>
  <c r="H7" i="13"/>
  <c r="L34" i="13"/>
  <c r="L37" i="13" s="1"/>
  <c r="L38" i="13" s="1"/>
  <c r="J36" i="13"/>
</calcChain>
</file>

<file path=xl/comments1.xml><?xml version="1.0" encoding="utf-8"?>
<comments xmlns="http://schemas.openxmlformats.org/spreadsheetml/2006/main">
  <authors>
    <author>Поліщук Володимир Миколайович</author>
  </authors>
  <commentList>
    <comment ref="J34" authorId="0" shapeId="0">
      <text>
        <r>
          <rPr>
            <b/>
            <sz val="9"/>
            <rFont val="Tahoma"/>
            <family val="2"/>
            <charset val="204"/>
          </rPr>
          <t>Поліщук Володимир Миколайович:
Нараховано 2445,44, а повинно 1913,12грн.
Сняти в листопаді 532,32 грн.</t>
        </r>
      </text>
    </comment>
  </commentList>
</comments>
</file>

<file path=xl/sharedStrings.xml><?xml version="1.0" encoding="utf-8"?>
<sst xmlns="http://schemas.openxmlformats.org/spreadsheetml/2006/main" count="601" uniqueCount="74">
  <si>
    <r>
      <rPr>
        <sz val="11"/>
        <color theme="1"/>
        <rFont val="Calibri"/>
        <family val="2"/>
        <charset val="204"/>
        <scheme val="minor"/>
      </rPr>
      <t>Загальна площа хол.камер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</si>
  <si>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нарахування з втратами, кВт</t>
  </si>
  <si>
    <t>спожито всього</t>
  </si>
  <si>
    <t>% споживання (ввід1 + ввід2)</t>
  </si>
  <si>
    <t>% нарахування з втратами, активна, кВт</t>
  </si>
  <si>
    <t>% нарахування реактивна, грн.</t>
  </si>
  <si>
    <t>сума до оплати, грн. (активна+реактивна)</t>
  </si>
  <si>
    <t>Оренда</t>
  </si>
  <si>
    <t>Вартість електроенергії/ кВт</t>
  </si>
  <si>
    <t>Оплати жовтень, листопад</t>
  </si>
  <si>
    <t>Всього Активна кВт</t>
  </si>
  <si>
    <t>кВт - 3грн.</t>
  </si>
  <si>
    <t>Всього Активна  з ПДВ, грн.</t>
  </si>
  <si>
    <t>Укрвент</t>
  </si>
  <si>
    <t>реактивна з ПДВ, грн.</t>
  </si>
  <si>
    <t>Склад</t>
  </si>
  <si>
    <t>Аванс (залишок)</t>
  </si>
  <si>
    <t xml:space="preserve">Всього затрат ГРН </t>
  </si>
  <si>
    <t>Всього перевиставлено</t>
  </si>
  <si>
    <t>Офісне приміщення СБМ</t>
  </si>
  <si>
    <t>Назва Обєкта</t>
  </si>
  <si>
    <t>Площа</t>
  </si>
  <si>
    <t>№ Лічильник</t>
  </si>
  <si>
    <t>Показники</t>
  </si>
  <si>
    <t xml:space="preserve">Різниця </t>
  </si>
  <si>
    <t>Коеф. трансформації</t>
  </si>
  <si>
    <t>Поточні 31.10.2025</t>
  </si>
  <si>
    <t>Попередні 30.09.2025</t>
  </si>
  <si>
    <t>Спожито по лічильникам</t>
  </si>
  <si>
    <t>Втрати в лінії, ТП 10%</t>
  </si>
  <si>
    <t>Всього спожито кВт</t>
  </si>
  <si>
    <t>Ввід1</t>
  </si>
  <si>
    <t>Ввід2</t>
  </si>
  <si>
    <t>Сухой склад-1</t>
  </si>
  <si>
    <t>Камера №1</t>
  </si>
  <si>
    <t>Сухой склад-2</t>
  </si>
  <si>
    <t>Камера №2</t>
  </si>
  <si>
    <t>Камера №3</t>
  </si>
  <si>
    <t>Камера №4</t>
  </si>
  <si>
    <t>Камера №5</t>
  </si>
  <si>
    <t>Камера №6</t>
  </si>
  <si>
    <t>Рампа №1</t>
  </si>
  <si>
    <t>Овочі</t>
  </si>
  <si>
    <t xml:space="preserve">Рампа №2 </t>
  </si>
  <si>
    <t>Офіс</t>
  </si>
  <si>
    <t xml:space="preserve">Копресорна </t>
  </si>
  <si>
    <t>Частка %</t>
  </si>
  <si>
    <t>Конденсатор</t>
  </si>
  <si>
    <t>Реактивна</t>
  </si>
  <si>
    <t>Всього</t>
  </si>
  <si>
    <t xml:space="preserve"> Нараховано грн/ місяць</t>
  </si>
  <si>
    <t xml:space="preserve">Розрахунок </t>
  </si>
  <si>
    <t>Всього спожито</t>
  </si>
  <si>
    <t xml:space="preserve">Втрати в лінії, ТП </t>
  </si>
  <si>
    <t>ГРН</t>
  </si>
  <si>
    <t>сусіди</t>
  </si>
  <si>
    <t>переплата</t>
  </si>
  <si>
    <t>оплата грудень</t>
  </si>
  <si>
    <t>Поточні 30.11.2025</t>
  </si>
  <si>
    <t>Автомат</t>
  </si>
  <si>
    <t>Поточні 31.12.2025</t>
  </si>
  <si>
    <t>Попередні 30.11.2025</t>
  </si>
  <si>
    <t xml:space="preserve">Активна з Втратами в лінії, ТП </t>
  </si>
  <si>
    <t xml:space="preserve"> К уплате </t>
  </si>
  <si>
    <t>Октябрь переплата</t>
  </si>
  <si>
    <t>Ноябрь переплата</t>
  </si>
  <si>
    <t>Поточні 31.01.2026</t>
  </si>
  <si>
    <t>Поточні 28.02.2026</t>
  </si>
  <si>
    <t>Попередні 31.01.2026</t>
  </si>
  <si>
    <t>Попередні 28.02.2026</t>
  </si>
  <si>
    <t>Поточні 31.03.2026</t>
  </si>
  <si>
    <t>Поточні 30.04.2026</t>
  </si>
  <si>
    <t>Попередні 30.04.2026</t>
  </si>
  <si>
    <t>Поточні 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</si>
</sst>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\ ##0.00"/>
  </numFmts>
  <fonts count="9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b/>
      <sz val="9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118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/>
    <xf numFmtId="164" fontId="0" fillId="0" borderId="4" xfId="0" applyNumberFormat="1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4" xfId="0" applyBorder="1"/>
    <xf numFmtId="0" fontId="3" fillId="0" borderId="0" xfId="0" applyFont="1" applyAlignment="1">
      <alignment horizontal="center" vertical="center"/>
    </xf>
    <xf numFmtId="165" fontId="0" fillId="0" borderId="4" xfId="0" applyNumberFormat="1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0" borderId="7" xfId="0" applyFont="1" applyBorder="1"/>
    <xf numFmtId="0" fontId="3" fillId="0" borderId="8" xfId="0" applyFont="1" applyBorder="1"/>
    <xf numFmtId="0" fontId="5" fillId="0" borderId="7" xfId="0" applyFont="1" applyBorder="1"/>
    <xf numFmtId="2" fontId="5" fillId="3" borderId="8" xfId="0" applyNumberFormat="1" applyFont="1" applyFill="1" applyBorder="1"/>
    <xf numFmtId="0" fontId="3" fillId="0" borderId="0" xfId="0" applyFont="1"/>
    <xf numFmtId="2" fontId="5" fillId="0" borderId="9" xfId="0" applyNumberFormat="1" applyFont="1" applyBorder="1"/>
    <xf numFmtId="0" fontId="0" fillId="0" borderId="10" xfId="0" applyBorder="1"/>
    <xf numFmtId="2" fontId="0" fillId="0" borderId="10" xfId="0" applyNumberFormat="1" applyBorder="1"/>
    <xf numFmtId="0" fontId="5" fillId="0" borderId="0" xfId="0" applyFont="1"/>
    <xf numFmtId="0" fontId="5" fillId="0" borderId="11" xfId="0" applyFont="1" applyBorder="1"/>
    <xf numFmtId="2" fontId="5" fillId="0" borderId="11" xfId="0" applyNumberFormat="1" applyFont="1" applyBorder="1"/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wrapText="1"/>
    </xf>
    <xf numFmtId="0" fontId="5" fillId="3" borderId="11" xfId="0" applyFont="1" applyFill="1" applyBorder="1" applyAlignment="1">
      <alignment wrapText="1"/>
    </xf>
    <xf numFmtId="0" fontId="5" fillId="4" borderId="11" xfId="0" applyFont="1" applyFill="1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right" vertical="center"/>
    </xf>
    <xf numFmtId="1" fontId="5" fillId="0" borderId="11" xfId="0" applyNumberFormat="1" applyFont="1" applyBorder="1" applyAlignment="1">
      <alignment horizontal="center"/>
    </xf>
    <xf numFmtId="0" fontId="5" fillId="3" borderId="11" xfId="0" applyFont="1" applyFill="1" applyBorder="1"/>
    <xf numFmtId="0" fontId="5" fillId="4" borderId="11" xfId="0" applyFont="1" applyFill="1" applyBorder="1"/>
    <xf numFmtId="0" fontId="0" fillId="2" borderId="11" xfId="0" applyFill="1" applyBorder="1" applyAlignment="1">
      <alignment horizontal="right" vertical="center"/>
    </xf>
    <xf numFmtId="0" fontId="0" fillId="2" borderId="11" xfId="0" applyFill="1" applyBorder="1"/>
    <xf numFmtId="1" fontId="5" fillId="2" borderId="11" xfId="0" applyNumberFormat="1" applyFont="1" applyFill="1" applyBorder="1" applyAlignment="1">
      <alignment horizontal="center"/>
    </xf>
    <xf numFmtId="0" fontId="5" fillId="5" borderId="11" xfId="0" applyFont="1" applyFill="1" applyBorder="1"/>
    <xf numFmtId="0" fontId="0" fillId="2" borderId="11" xfId="0" applyFill="1" applyBorder="1" applyAlignment="1">
      <alignment horizontal="center"/>
    </xf>
    <xf numFmtId="1" fontId="5" fillId="0" borderId="11" xfId="0" applyNumberFormat="1" applyFont="1" applyBorder="1"/>
    <xf numFmtId="0" fontId="0" fillId="0" borderId="12" xfId="0" applyBorder="1"/>
    <xf numFmtId="0" fontId="0" fillId="0" borderId="13" xfId="0" applyBorder="1"/>
    <xf numFmtId="1" fontId="5" fillId="0" borderId="13" xfId="0" applyNumberFormat="1" applyFont="1" applyBorder="1"/>
    <xf numFmtId="0" fontId="5" fillId="0" borderId="13" xfId="0" applyFont="1" applyBorder="1"/>
    <xf numFmtId="0" fontId="0" fillId="2" borderId="7" xfId="0" applyFill="1" applyBorder="1"/>
    <xf numFmtId="0" fontId="0" fillId="0" borderId="14" xfId="0" applyBorder="1"/>
    <xf numFmtId="1" fontId="5" fillId="0" borderId="14" xfId="0" applyNumberFormat="1" applyFont="1" applyBorder="1"/>
    <xf numFmtId="0" fontId="5" fillId="0" borderId="14" xfId="0" applyFont="1" applyBorder="1"/>
    <xf numFmtId="0" fontId="0" fillId="0" borderId="15" xfId="0" applyBorder="1"/>
    <xf numFmtId="1" fontId="5" fillId="0" borderId="15" xfId="0" applyNumberFormat="1" applyFont="1" applyBorder="1"/>
    <xf numFmtId="0" fontId="5" fillId="0" borderId="15" xfId="0" applyFont="1" applyBorder="1"/>
    <xf numFmtId="0" fontId="0" fillId="0" borderId="18" xfId="0" applyBorder="1"/>
    <xf numFmtId="0" fontId="0" fillId="0" borderId="19" xfId="0" applyBorder="1"/>
    <xf numFmtId="1" fontId="5" fillId="0" borderId="19" xfId="0" applyNumberFormat="1" applyFont="1" applyBorder="1"/>
    <xf numFmtId="0" fontId="5" fillId="0" borderId="19" xfId="0" applyFont="1" applyBorder="1"/>
    <xf numFmtId="0" fontId="0" fillId="2" borderId="14" xfId="0" applyFill="1" applyBorder="1"/>
    <xf numFmtId="2" fontId="5" fillId="2" borderId="14" xfId="0" applyNumberFormat="1" applyFont="1" applyFill="1" applyBorder="1"/>
    <xf numFmtId="0" fontId="5" fillId="2" borderId="14" xfId="0" applyFont="1" applyFill="1" applyBorder="1"/>
    <xf numFmtId="0" fontId="6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" fontId="0" fillId="0" borderId="0" xfId="0" applyNumberFormat="1"/>
    <xf numFmtId="9" fontId="0" fillId="0" borderId="11" xfId="0" applyNumberForma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2" fontId="0" fillId="0" borderId="11" xfId="0" applyNumberFormat="1" applyBorder="1"/>
    <xf numFmtId="10" fontId="0" fillId="2" borderId="11" xfId="0" applyNumberFormat="1" applyFill="1" applyBorder="1"/>
    <xf numFmtId="0" fontId="0" fillId="4" borderId="11" xfId="0" applyFill="1" applyBorder="1" applyAlignment="1">
      <alignment horizontal="center"/>
    </xf>
    <xf numFmtId="0" fontId="0" fillId="5" borderId="11" xfId="0" applyFill="1" applyBorder="1"/>
    <xf numFmtId="2" fontId="0" fillId="2" borderId="11" xfId="0" applyNumberFormat="1" applyFill="1" applyBorder="1"/>
    <xf numFmtId="0" fontId="0" fillId="0" borderId="13" xfId="0" applyBorder="1" applyAlignment="1">
      <alignment horizontal="center"/>
    </xf>
    <xf numFmtId="1" fontId="0" fillId="0" borderId="13" xfId="0" applyNumberFormat="1" applyBorder="1"/>
    <xf numFmtId="2" fontId="0" fillId="0" borderId="13" xfId="0" applyNumberFormat="1" applyBorder="1"/>
    <xf numFmtId="0" fontId="0" fillId="0" borderId="20" xfId="0" applyBorder="1"/>
    <xf numFmtId="0" fontId="0" fillId="0" borderId="14" xfId="0" applyBorder="1" applyAlignment="1">
      <alignment horizontal="center"/>
    </xf>
    <xf numFmtId="1" fontId="0" fillId="0" borderId="14" xfId="0" applyNumberFormat="1" applyBorder="1"/>
    <xf numFmtId="2" fontId="0" fillId="3" borderId="21" xfId="0" applyNumberFormat="1" applyFill="1" applyBorder="1"/>
    <xf numFmtId="0" fontId="0" fillId="0" borderId="8" xfId="0" applyBorder="1"/>
    <xf numFmtId="2" fontId="6" fillId="0" borderId="15" xfId="0" applyNumberFormat="1" applyFont="1" applyBorder="1"/>
    <xf numFmtId="9" fontId="0" fillId="0" borderId="0" xfId="0" applyNumberFormat="1"/>
    <xf numFmtId="0" fontId="0" fillId="0" borderId="19" xfId="0" applyBorder="1" applyAlignment="1">
      <alignment horizontal="center"/>
    </xf>
    <xf numFmtId="1" fontId="0" fillId="0" borderId="19" xfId="0" applyNumberFormat="1" applyBorder="1"/>
    <xf numFmtId="2" fontId="0" fillId="0" borderId="19" xfId="0" applyNumberFormat="1" applyBorder="1"/>
    <xf numFmtId="0" fontId="0" fillId="0" borderId="9" xfId="0" applyBorder="1"/>
    <xf numFmtId="2" fontId="0" fillId="3" borderId="9" xfId="0" applyNumberFormat="1" applyFill="1" applyBorder="1"/>
    <xf numFmtId="0" fontId="0" fillId="0" borderId="0" xfId="0" applyAlignment="1">
      <alignment horizontal="center"/>
    </xf>
    <xf numFmtId="2" fontId="6" fillId="0" borderId="0" xfId="0" applyNumberFormat="1" applyFont="1"/>
    <xf numFmtId="0" fontId="0" fillId="0" borderId="1" xfId="0" applyBorder="1"/>
    <xf numFmtId="0" fontId="0" fillId="0" borderId="2" xfId="0" applyBorder="1" applyAlignment="1">
      <alignment horizontal="left"/>
    </xf>
    <xf numFmtId="0" fontId="5" fillId="2" borderId="11" xfId="0" applyFont="1" applyFill="1" applyBorder="1"/>
    <xf numFmtId="2" fontId="0" fillId="0" borderId="15" xfId="0" applyNumberFormat="1" applyBorder="1"/>
    <xf numFmtId="0" fontId="5" fillId="0" borderId="11" xfId="1" applyFont="1" applyBorder="1"/>
    <xf numFmtId="0" fontId="5" fillId="0" borderId="11" xfId="1" applyFont="1" applyBorder="1" applyAlignment="1">
      <alignment wrapText="1"/>
    </xf>
    <xf numFmtId="0" fontId="5" fillId="4" borderId="11" xfId="1" applyFont="1" applyFill="1" applyBorder="1"/>
    <xf numFmtId="0" fontId="5" fillId="5" borderId="11" xfId="1" applyFont="1" applyFill="1" applyBorder="1"/>
    <xf numFmtId="0" fontId="5" fillId="3" borderId="11" xfId="1" applyFont="1" applyFill="1" applyBorder="1"/>
    <xf numFmtId="0" fontId="5" fillId="3" borderId="11" xfId="1" applyFont="1" applyFill="1" applyBorder="1" applyAlignment="1">
      <alignment wrapText="1"/>
    </xf>
    <xf numFmtId="4" fontId="3" fillId="0" borderId="8" xfId="0" applyNumberFormat="1" applyFont="1" applyBorder="1"/>
    <xf numFmtId="4" fontId="0" fillId="0" borderId="4" xfId="0" applyNumberFormat="1" applyBorder="1"/>
    <xf numFmtId="0" fontId="2" fillId="0" borderId="2" xfId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0" fillId="0" borderId="4" xfId="0" applyNumberFormat="1" applyBorder="1"/>
    <xf numFmtId="4" fontId="0" fillId="0" borderId="0" xfId="0" applyNumberFormat="1"/>
    <xf numFmtId="0" fontId="5" fillId="6" borderId="11" xfId="0" applyFont="1" applyFill="1" applyBorder="1"/>
    <xf numFmtId="0" fontId="0" fillId="4" borderId="11" xfId="0" applyFill="1" applyBorder="1"/>
    <xf numFmtId="164" fontId="0" fillId="3" borderId="4" xfId="0" applyNumberFormat="1" applyFill="1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1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7"/>
  <sheetViews>
    <sheetView topLeftCell="A16" workbookViewId="0">
      <selection activeCell="G25" sqref="G25"/>
    </sheetView>
  </sheetViews>
  <sheetFormatPr defaultColWidth="9" defaultRowHeight="15" x14ac:dyDescent="0.25"/>
  <cols>
    <col min="1" max="1" width="28.5703125" customWidth="1"/>
    <col min="2" max="2" width="18.140625" customWidth="1"/>
    <col min="3" max="3" width="15.42578125" customWidth="1"/>
    <col min="4" max="4" width="11.42578125" customWidth="1"/>
    <col min="5" max="5" width="15.5703125" customWidth="1"/>
    <col min="6" max="6" width="14.7109375" customWidth="1"/>
    <col min="7" max="7" width="17" customWidth="1"/>
    <col min="8" max="8" width="19.85546875" customWidth="1"/>
    <col min="9" max="9" width="14.85546875" customWidth="1"/>
    <col min="10" max="10" width="16.140625" customWidth="1"/>
    <col min="11" max="11" width="12.140625" customWidth="1"/>
    <col min="12" max="12" width="12.28515625" style="2" customWidth="1"/>
    <col min="13" max="13" width="15" customWidth="1"/>
    <col min="16" max="17" width="11.42578125" customWidth="1"/>
    <col min="21" max="21" width="7.5703125" customWidth="1"/>
    <col min="24" max="24" width="13.28515625" customWidth="1"/>
    <col min="26" max="26" width="25.85546875" customWidth="1"/>
    <col min="28" max="29" width="10.85546875" customWidth="1"/>
    <col min="30" max="30" width="12.5703125" customWidth="1"/>
  </cols>
  <sheetData>
    <row r="1" spans="1:13" ht="45" x14ac:dyDescent="0.25">
      <c r="A1" s="89" t="s">
        <v>0</v>
      </c>
      <c r="B1" s="90">
        <f>C15+C16+C18+C17+C19+C20</f>
        <v>3253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/>
      <c r="K1" s="5" t="s">
        <v>7</v>
      </c>
    </row>
    <row r="2" spans="1:13" x14ac:dyDescent="0.25">
      <c r="A2" s="6" t="s">
        <v>8</v>
      </c>
      <c r="B2" s="7">
        <f>B4/B3</f>
        <v>11.03678463648834</v>
      </c>
      <c r="C2" s="8"/>
      <c r="D2" s="8"/>
      <c r="E2" s="8"/>
      <c r="F2" s="8"/>
      <c r="G2" s="8"/>
      <c r="H2" s="8"/>
      <c r="I2" s="108" t="s">
        <v>9</v>
      </c>
      <c r="J2" s="108"/>
      <c r="K2" s="8">
        <v>80400</v>
      </c>
    </row>
    <row r="3" spans="1:13" x14ac:dyDescent="0.25">
      <c r="A3" s="9" t="s">
        <v>10</v>
      </c>
      <c r="B3" s="10">
        <v>14580</v>
      </c>
      <c r="C3" s="11">
        <f>B3</f>
        <v>14580</v>
      </c>
      <c r="D3" s="8">
        <f>I14+I13</f>
        <v>13498.00000000032</v>
      </c>
      <c r="E3" s="8"/>
      <c r="F3" s="8"/>
      <c r="G3" s="8"/>
      <c r="H3" s="8"/>
      <c r="I3" s="8"/>
      <c r="J3" s="8" t="s">
        <v>11</v>
      </c>
      <c r="K3" s="8">
        <f>I34*3</f>
        <v>18340.800000000003</v>
      </c>
    </row>
    <row r="4" spans="1:13" x14ac:dyDescent="0.25">
      <c r="A4" s="6" t="s">
        <v>12</v>
      </c>
      <c r="B4" s="12">
        <v>160916.32</v>
      </c>
      <c r="C4" s="8" t="s">
        <v>13</v>
      </c>
      <c r="D4" s="8">
        <f>I34</f>
        <v>6113.6</v>
      </c>
      <c r="E4" s="8">
        <f>D4/D3*100</f>
        <v>45.292635946065012</v>
      </c>
      <c r="F4" s="8">
        <f>E4*C3/100</f>
        <v>6603.6663209362778</v>
      </c>
      <c r="G4" s="8">
        <f>B5*E4/100</f>
        <v>5766.7716402428623</v>
      </c>
      <c r="H4" s="13">
        <f>F4*B2+G4</f>
        <v>78650.014635647851</v>
      </c>
      <c r="I4" s="62"/>
      <c r="J4" s="8"/>
      <c r="K4" s="8">
        <f>K2-K3</f>
        <v>62059.199999999997</v>
      </c>
    </row>
    <row r="5" spans="1:13" x14ac:dyDescent="0.25">
      <c r="A5" s="14" t="s">
        <v>14</v>
      </c>
      <c r="B5" s="15">
        <f>10688.9+2043.35</f>
        <v>12732.25</v>
      </c>
      <c r="C5" s="8" t="s">
        <v>15</v>
      </c>
      <c r="D5" s="8">
        <f>D3-D4</f>
        <v>7384.4000000003198</v>
      </c>
      <c r="E5" s="8">
        <f>D5/D3*100</f>
        <v>54.707364053934995</v>
      </c>
      <c r="F5" s="8">
        <f>E5*C3/100</f>
        <v>7976.3336790637222</v>
      </c>
      <c r="G5" s="8">
        <f>B5*E5/100</f>
        <v>6965.4783597571377</v>
      </c>
      <c r="H5" s="13">
        <f>F5*B2+G5</f>
        <v>94998.555364352142</v>
      </c>
      <c r="I5" s="8"/>
      <c r="J5" s="8" t="s">
        <v>16</v>
      </c>
      <c r="K5" s="13">
        <f>K4+L5</f>
        <v>62059.199999999997</v>
      </c>
    </row>
    <row r="6" spans="1:13" x14ac:dyDescent="0.25">
      <c r="A6" s="16" t="s">
        <v>17</v>
      </c>
      <c r="B6" s="17">
        <f>SUM(B4:B5)</f>
        <v>173648.57</v>
      </c>
    </row>
    <row r="7" spans="1:13" x14ac:dyDescent="0.25">
      <c r="A7" s="18" t="s">
        <v>18</v>
      </c>
      <c r="B7" s="19"/>
      <c r="H7" s="20">
        <f>SUM(H4:H6)</f>
        <v>173648.57</v>
      </c>
      <c r="K7" s="64"/>
    </row>
    <row r="8" spans="1:13" x14ac:dyDescent="0.25">
      <c r="A8" s="18" t="s">
        <v>19</v>
      </c>
      <c r="B8" s="21"/>
    </row>
    <row r="9" spans="1:13" x14ac:dyDescent="0.25">
      <c r="A9" s="22"/>
      <c r="B9" s="23"/>
      <c r="C9" s="24"/>
      <c r="D9" s="109"/>
      <c r="E9" s="109"/>
      <c r="F9" s="24"/>
    </row>
    <row r="10" spans="1:13" x14ac:dyDescent="0.25">
      <c r="A10" s="25"/>
      <c r="B10" s="26"/>
    </row>
    <row r="11" spans="1:13" ht="15" customHeight="1" x14ac:dyDescent="0.25">
      <c r="B11" s="113" t="s">
        <v>20</v>
      </c>
      <c r="C11" s="110" t="s">
        <v>21</v>
      </c>
      <c r="D11" s="115" t="s">
        <v>22</v>
      </c>
      <c r="E11" s="110" t="s">
        <v>23</v>
      </c>
      <c r="F11" s="110"/>
      <c r="G11" s="110" t="s">
        <v>24</v>
      </c>
      <c r="H11" s="115" t="s">
        <v>25</v>
      </c>
      <c r="I11" s="24"/>
    </row>
    <row r="12" spans="1:13" ht="47.25" customHeight="1" x14ac:dyDescent="0.25">
      <c r="B12" s="110"/>
      <c r="C12" s="110"/>
      <c r="D12" s="115"/>
      <c r="E12" s="29" t="s">
        <v>26</v>
      </c>
      <c r="F12" s="29" t="s">
        <v>27</v>
      </c>
      <c r="G12" s="110"/>
      <c r="H12" s="115"/>
      <c r="I12" s="28" t="s">
        <v>28</v>
      </c>
      <c r="J12" s="65" t="s">
        <v>29</v>
      </c>
      <c r="K12" s="66" t="s">
        <v>30</v>
      </c>
      <c r="L12" s="67"/>
      <c r="M12" s="68"/>
    </row>
    <row r="13" spans="1:13" ht="47.25" customHeight="1" x14ac:dyDescent="0.25">
      <c r="B13" s="27" t="s">
        <v>31</v>
      </c>
      <c r="C13" s="27"/>
      <c r="D13" s="28"/>
      <c r="E13" s="31">
        <v>25536.83</v>
      </c>
      <c r="F13" s="29">
        <v>25535.45</v>
      </c>
      <c r="G13" s="32">
        <f>E13-F13</f>
        <v>1.3800000000010186</v>
      </c>
      <c r="H13" s="33">
        <v>200</v>
      </c>
      <c r="I13" s="33">
        <f>H13*G13</f>
        <v>276.00000000020373</v>
      </c>
      <c r="J13" s="65"/>
      <c r="K13" s="66"/>
      <c r="L13" s="67"/>
      <c r="M13" s="68"/>
    </row>
    <row r="14" spans="1:13" ht="47.25" customHeight="1" x14ac:dyDescent="0.25">
      <c r="B14" s="27" t="s">
        <v>32</v>
      </c>
      <c r="C14" s="27"/>
      <c r="D14" s="28"/>
      <c r="E14" s="31">
        <v>9922.32</v>
      </c>
      <c r="F14" s="29">
        <v>9856.2099999999991</v>
      </c>
      <c r="G14" s="32">
        <f>E14-F14</f>
        <v>66.110000000000582</v>
      </c>
      <c r="H14" s="33">
        <v>200</v>
      </c>
      <c r="I14" s="33">
        <f>H14*G14</f>
        <v>13222.000000000116</v>
      </c>
      <c r="J14" s="65"/>
      <c r="K14" s="66"/>
      <c r="L14" s="67"/>
      <c r="M14" s="68"/>
    </row>
    <row r="15" spans="1:13" x14ac:dyDescent="0.25">
      <c r="A15" s="34" t="s">
        <v>33</v>
      </c>
      <c r="B15" s="25" t="s">
        <v>34</v>
      </c>
      <c r="C15" s="32">
        <v>851</v>
      </c>
      <c r="D15" s="35">
        <v>821430</v>
      </c>
      <c r="E15" s="37">
        <v>12077</v>
      </c>
      <c r="F15" s="25">
        <v>12077</v>
      </c>
      <c r="G15" s="32">
        <f>E15-F15</f>
        <v>0</v>
      </c>
      <c r="H15" s="33">
        <v>30</v>
      </c>
      <c r="I15" s="33">
        <f>H15*G15</f>
        <v>0</v>
      </c>
      <c r="J15" s="32">
        <f>(I15*J7)-I15</f>
        <v>0</v>
      </c>
      <c r="K15" s="32">
        <f>J15+I15</f>
        <v>0</v>
      </c>
      <c r="L15" s="67">
        <f>K15*B2</f>
        <v>0</v>
      </c>
      <c r="M15" s="32"/>
    </row>
    <row r="16" spans="1:13" x14ac:dyDescent="0.25">
      <c r="A16" s="34" t="s">
        <v>35</v>
      </c>
      <c r="B16" s="25" t="s">
        <v>36</v>
      </c>
      <c r="C16" s="32">
        <v>839</v>
      </c>
      <c r="D16" s="35">
        <v>821436</v>
      </c>
      <c r="E16" s="37">
        <v>14163</v>
      </c>
      <c r="F16" s="25">
        <v>14163</v>
      </c>
      <c r="G16" s="32">
        <f t="shared" ref="G16:G25" si="0">E16-F16</f>
        <v>0</v>
      </c>
      <c r="H16" s="33">
        <v>30</v>
      </c>
      <c r="I16" s="33">
        <f t="shared" ref="I16:I25" si="1">H16*G16</f>
        <v>0</v>
      </c>
      <c r="J16" s="32">
        <f>(I16*J7)-I16</f>
        <v>0</v>
      </c>
      <c r="K16" s="32">
        <f t="shared" ref="K16:K23" si="2">J16+I16</f>
        <v>0</v>
      </c>
      <c r="L16" s="67">
        <f>K16*B2</f>
        <v>0</v>
      </c>
      <c r="M16" s="32"/>
    </row>
    <row r="17" spans="1:13" x14ac:dyDescent="0.25">
      <c r="A17" s="34"/>
      <c r="B17" s="25" t="s">
        <v>37</v>
      </c>
      <c r="C17" s="32">
        <v>428</v>
      </c>
      <c r="D17" s="35">
        <v>11829942</v>
      </c>
      <c r="E17" s="37">
        <v>2213</v>
      </c>
      <c r="F17" s="25">
        <v>2213</v>
      </c>
      <c r="G17" s="32">
        <f t="shared" si="0"/>
        <v>0</v>
      </c>
      <c r="H17" s="33">
        <v>40</v>
      </c>
      <c r="I17" s="33">
        <f t="shared" si="1"/>
        <v>0</v>
      </c>
      <c r="J17" s="32">
        <f>(I17*J7)-I17</f>
        <v>0</v>
      </c>
      <c r="K17" s="32">
        <f t="shared" si="2"/>
        <v>0</v>
      </c>
      <c r="L17" s="67">
        <f>K17*B2</f>
        <v>0</v>
      </c>
      <c r="M17" s="32"/>
    </row>
    <row r="18" spans="1:13" x14ac:dyDescent="0.25">
      <c r="A18" s="34"/>
      <c r="B18" s="25" t="s">
        <v>38</v>
      </c>
      <c r="C18" s="32">
        <v>415</v>
      </c>
      <c r="D18" s="35">
        <v>820614</v>
      </c>
      <c r="E18" s="37">
        <v>14226</v>
      </c>
      <c r="F18" s="25">
        <v>14226</v>
      </c>
      <c r="G18" s="32">
        <f t="shared" si="0"/>
        <v>0</v>
      </c>
      <c r="H18" s="33">
        <v>40</v>
      </c>
      <c r="I18" s="33">
        <f t="shared" si="1"/>
        <v>0</v>
      </c>
      <c r="J18" s="32">
        <f>(I18*J7)-I18</f>
        <v>0</v>
      </c>
      <c r="K18" s="32">
        <f t="shared" si="2"/>
        <v>0</v>
      </c>
      <c r="L18" s="67">
        <f>K18*B2</f>
        <v>0</v>
      </c>
      <c r="M18" s="32"/>
    </row>
    <row r="19" spans="1:13" x14ac:dyDescent="0.25">
      <c r="A19" s="34"/>
      <c r="B19" s="25" t="s">
        <v>39</v>
      </c>
      <c r="C19" s="32">
        <v>428</v>
      </c>
      <c r="D19" s="35">
        <v>820573</v>
      </c>
      <c r="E19" s="37">
        <v>10172</v>
      </c>
      <c r="F19" s="25">
        <v>10172</v>
      </c>
      <c r="G19" s="32">
        <f t="shared" ref="G19:G22" si="3">E19-F19</f>
        <v>0</v>
      </c>
      <c r="H19" s="33">
        <v>40</v>
      </c>
      <c r="I19" s="33">
        <f t="shared" si="1"/>
        <v>0</v>
      </c>
      <c r="J19" s="32">
        <f>(I19*J7)-I19</f>
        <v>0</v>
      </c>
      <c r="K19" s="32">
        <f t="shared" si="2"/>
        <v>0</v>
      </c>
      <c r="L19" s="67">
        <f>K19*B3</f>
        <v>0</v>
      </c>
      <c r="M19" s="32"/>
    </row>
    <row r="20" spans="1:13" x14ac:dyDescent="0.25">
      <c r="A20" s="34"/>
      <c r="B20" s="25" t="s">
        <v>40</v>
      </c>
      <c r="C20" s="32">
        <v>292</v>
      </c>
      <c r="D20" s="35">
        <v>10808904</v>
      </c>
      <c r="E20" s="37">
        <v>11686</v>
      </c>
      <c r="F20" s="25">
        <v>11686</v>
      </c>
      <c r="G20" s="32">
        <f t="shared" si="3"/>
        <v>0</v>
      </c>
      <c r="H20" s="33">
        <v>1</v>
      </c>
      <c r="I20" s="33">
        <f t="shared" si="1"/>
        <v>0</v>
      </c>
      <c r="J20" s="32">
        <f>(I20*J7)-I20</f>
        <v>0</v>
      </c>
      <c r="K20" s="32">
        <f t="shared" si="2"/>
        <v>0</v>
      </c>
      <c r="L20" s="67">
        <f>K20*B4</f>
        <v>0</v>
      </c>
      <c r="M20" s="32"/>
    </row>
    <row r="21" spans="1:13" x14ac:dyDescent="0.25">
      <c r="A21" s="34" t="s">
        <v>33</v>
      </c>
      <c r="B21" s="32" t="s">
        <v>41</v>
      </c>
      <c r="C21" s="32">
        <v>573</v>
      </c>
      <c r="D21" s="35">
        <v>945448</v>
      </c>
      <c r="E21" s="37">
        <v>188212</v>
      </c>
      <c r="F21" s="25">
        <v>186360</v>
      </c>
      <c r="G21" s="32">
        <f t="shared" si="3"/>
        <v>1852</v>
      </c>
      <c r="H21" s="33">
        <v>1</v>
      </c>
      <c r="I21" s="33">
        <f t="shared" si="1"/>
        <v>1852</v>
      </c>
      <c r="J21" s="32">
        <f>(I21*J7)-I21</f>
        <v>-1852</v>
      </c>
      <c r="K21" s="32">
        <f t="shared" si="2"/>
        <v>0</v>
      </c>
      <c r="L21" s="67">
        <f>K21*B2</f>
        <v>0</v>
      </c>
      <c r="M21" s="32"/>
    </row>
    <row r="22" spans="1:13" x14ac:dyDescent="0.25">
      <c r="A22" s="34" t="s">
        <v>42</v>
      </c>
      <c r="B22" s="32" t="s">
        <v>43</v>
      </c>
      <c r="C22" s="32">
        <v>573</v>
      </c>
      <c r="D22" s="35">
        <v>945448</v>
      </c>
      <c r="E22" s="37">
        <v>624173</v>
      </c>
      <c r="F22" s="25">
        <v>622136</v>
      </c>
      <c r="G22" s="32">
        <f t="shared" si="3"/>
        <v>2037</v>
      </c>
      <c r="H22" s="33">
        <v>1</v>
      </c>
      <c r="I22" s="33">
        <f t="shared" si="1"/>
        <v>2037</v>
      </c>
      <c r="J22" s="32">
        <f>(I22*J7)-I22</f>
        <v>-2037</v>
      </c>
      <c r="K22" s="32">
        <f t="shared" si="2"/>
        <v>0</v>
      </c>
      <c r="L22" s="67">
        <f>(K22*B2)</f>
        <v>0</v>
      </c>
      <c r="M22" s="32"/>
    </row>
    <row r="23" spans="1:13" x14ac:dyDescent="0.25">
      <c r="A23" s="34"/>
      <c r="B23" s="32" t="s">
        <v>44</v>
      </c>
      <c r="C23" s="32"/>
      <c r="D23" s="35">
        <v>906068</v>
      </c>
      <c r="E23" s="37">
        <v>402334</v>
      </c>
      <c r="F23" s="25">
        <v>401238</v>
      </c>
      <c r="G23" s="32">
        <f t="shared" si="0"/>
        <v>1096</v>
      </c>
      <c r="H23" s="33">
        <v>1</v>
      </c>
      <c r="I23" s="33">
        <f t="shared" si="1"/>
        <v>1096</v>
      </c>
      <c r="J23" s="32">
        <f>(I23*J7)-I23</f>
        <v>-1096</v>
      </c>
      <c r="K23" s="32">
        <f t="shared" si="2"/>
        <v>0</v>
      </c>
      <c r="L23" s="67">
        <f>K23*B2</f>
        <v>0</v>
      </c>
      <c r="M23" s="32"/>
    </row>
    <row r="24" spans="1:13" s="1" customFormat="1" x14ac:dyDescent="0.25">
      <c r="A24" s="38"/>
      <c r="B24" s="39" t="s">
        <v>45</v>
      </c>
      <c r="C24" s="39" t="s">
        <v>46</v>
      </c>
      <c r="D24" s="40">
        <v>8638117</v>
      </c>
      <c r="E24" s="41">
        <v>14708</v>
      </c>
      <c r="F24" s="91">
        <v>14708</v>
      </c>
      <c r="G24" s="39">
        <f t="shared" si="0"/>
        <v>0</v>
      </c>
      <c r="H24" s="42">
        <v>160</v>
      </c>
      <c r="I24" s="42">
        <f t="shared" si="1"/>
        <v>0</v>
      </c>
      <c r="J24" s="39">
        <f>(I24*J7)-I24</f>
        <v>0</v>
      </c>
      <c r="K24" s="39">
        <f>(J24+I24)*0.647</f>
        <v>0</v>
      </c>
      <c r="L24" s="71">
        <f>(K24*B2)</f>
        <v>0</v>
      </c>
      <c r="M24" s="71"/>
    </row>
    <row r="25" spans="1:13" s="1" customFormat="1" x14ac:dyDescent="0.25">
      <c r="A25" s="38"/>
      <c r="B25" s="39" t="s">
        <v>47</v>
      </c>
      <c r="C25" s="39" t="s">
        <v>46</v>
      </c>
      <c r="D25" s="40">
        <v>915199</v>
      </c>
      <c r="E25" s="41">
        <v>176409</v>
      </c>
      <c r="F25" s="91">
        <v>176406</v>
      </c>
      <c r="G25" s="39">
        <f t="shared" si="0"/>
        <v>3</v>
      </c>
      <c r="H25" s="42">
        <v>1</v>
      </c>
      <c r="I25" s="42">
        <f t="shared" si="1"/>
        <v>3</v>
      </c>
      <c r="J25" s="39">
        <f>(I25*J7)-I25</f>
        <v>-3</v>
      </c>
      <c r="K25" s="39">
        <f>(J25+I25)*0.647</f>
        <v>0</v>
      </c>
      <c r="L25" s="71">
        <f>(K25*B2)</f>
        <v>0</v>
      </c>
      <c r="M25" s="71"/>
    </row>
    <row r="26" spans="1:13" x14ac:dyDescent="0.25">
      <c r="B26" s="52" t="s">
        <v>48</v>
      </c>
      <c r="C26" s="52" t="s">
        <v>46</v>
      </c>
      <c r="D26" s="53"/>
      <c r="E26" s="54"/>
      <c r="F26" s="54"/>
      <c r="G26" s="52"/>
      <c r="H26" s="52"/>
      <c r="I26" s="52"/>
      <c r="J26" s="52"/>
      <c r="K26" s="52"/>
      <c r="L26" s="92">
        <f>(B5*1.6)-B5</f>
        <v>7639.3500000000022</v>
      </c>
    </row>
    <row r="27" spans="1:13" x14ac:dyDescent="0.25">
      <c r="B27" s="55" t="s">
        <v>49</v>
      </c>
      <c r="C27" s="56"/>
      <c r="D27" s="57"/>
      <c r="E27" s="58"/>
      <c r="F27" s="58"/>
      <c r="G27" s="56"/>
      <c r="H27" s="56"/>
      <c r="I27" s="56">
        <f>SUM(I15:I26)</f>
        <v>4988</v>
      </c>
      <c r="J27" s="56">
        <f>SUM(J15:J26)</f>
        <v>-4988</v>
      </c>
      <c r="K27" s="83">
        <f>SUM(K15:K26)</f>
        <v>0</v>
      </c>
      <c r="L27" s="84"/>
      <c r="M27" s="85"/>
    </row>
    <row r="28" spans="1:13" x14ac:dyDescent="0.25">
      <c r="B28" s="48" t="s">
        <v>50</v>
      </c>
      <c r="C28" s="59"/>
      <c r="D28" s="60"/>
      <c r="E28" s="61"/>
      <c r="F28" s="61"/>
      <c r="G28" s="59"/>
      <c r="H28" s="59"/>
      <c r="I28" s="59"/>
      <c r="J28" s="59"/>
      <c r="K28" s="59"/>
      <c r="L28" s="86">
        <f>SUM(L15:L26)</f>
        <v>7639.3500000000022</v>
      </c>
      <c r="M28" s="2"/>
    </row>
    <row r="30" spans="1:13" x14ac:dyDescent="0.25">
      <c r="B30" s="109" t="s">
        <v>51</v>
      </c>
      <c r="C30" s="109"/>
      <c r="D30" s="24"/>
    </row>
    <row r="32" spans="1:13" x14ac:dyDescent="0.25">
      <c r="B32" s="114" t="s">
        <v>20</v>
      </c>
      <c r="C32" s="114" t="s">
        <v>21</v>
      </c>
      <c r="D32" s="116" t="s">
        <v>22</v>
      </c>
      <c r="E32" s="111" t="s">
        <v>23</v>
      </c>
      <c r="F32" s="112"/>
      <c r="G32" s="114" t="s">
        <v>24</v>
      </c>
      <c r="H32" s="116" t="s">
        <v>25</v>
      </c>
      <c r="I32" s="24"/>
    </row>
    <row r="33" spans="2:13" ht="30" x14ac:dyDescent="0.25">
      <c r="B33" s="113"/>
      <c r="C33" s="113"/>
      <c r="D33" s="117"/>
      <c r="E33" s="29" t="s">
        <v>26</v>
      </c>
      <c r="F33" s="29" t="s">
        <v>27</v>
      </c>
      <c r="G33" s="113"/>
      <c r="H33" s="117"/>
      <c r="I33" s="28" t="s">
        <v>52</v>
      </c>
      <c r="J33" s="65" t="s">
        <v>53</v>
      </c>
      <c r="K33" s="66" t="s">
        <v>30</v>
      </c>
      <c r="L33" s="67" t="s">
        <v>54</v>
      </c>
      <c r="M33" s="68"/>
    </row>
    <row r="34" spans="2:13" x14ac:dyDescent="0.25">
      <c r="B34" s="25" t="s">
        <v>55</v>
      </c>
      <c r="C34" s="32"/>
      <c r="D34" s="35">
        <v>821430</v>
      </c>
      <c r="E34" s="25">
        <v>76.42</v>
      </c>
      <c r="F34" s="25">
        <v>0</v>
      </c>
      <c r="G34" s="32">
        <f>E34-F34</f>
        <v>76.42</v>
      </c>
      <c r="H34" s="33">
        <v>80</v>
      </c>
      <c r="I34" s="33">
        <f>H34*G34</f>
        <v>6113.6</v>
      </c>
      <c r="J34" s="32">
        <f>(I34*1.4)-I34</f>
        <v>2445.4400000000005</v>
      </c>
      <c r="K34" s="32">
        <f>J34+I34</f>
        <v>8559.0400000000009</v>
      </c>
      <c r="L34" s="67">
        <f>K34*B2</f>
        <v>94464.281175089171</v>
      </c>
      <c r="M34" s="32"/>
    </row>
    <row r="35" spans="2:13" x14ac:dyDescent="0.25">
      <c r="B35" s="52" t="s">
        <v>48</v>
      </c>
      <c r="C35" s="52" t="s">
        <v>46</v>
      </c>
      <c r="D35" s="53"/>
      <c r="E35" s="54"/>
      <c r="F35" s="54"/>
      <c r="G35" s="52"/>
      <c r="H35" s="52"/>
      <c r="I35" s="52"/>
      <c r="J35" s="52"/>
      <c r="K35" s="52"/>
      <c r="L35" s="80">
        <f>(B5*1.4)-B5</f>
        <v>5092.8999999999978</v>
      </c>
      <c r="M35" s="81"/>
    </row>
    <row r="36" spans="2:13" x14ac:dyDescent="0.25">
      <c r="B36" s="55" t="s">
        <v>49</v>
      </c>
      <c r="C36" s="56"/>
      <c r="D36" s="57"/>
      <c r="E36" s="58"/>
      <c r="F36" s="58"/>
      <c r="G36" s="56"/>
      <c r="H36" s="56"/>
      <c r="I36" s="56">
        <f>SUM(I34:I35)</f>
        <v>6113.6</v>
      </c>
      <c r="J36" s="56">
        <f>SUM(J34:J35)</f>
        <v>2445.4400000000005</v>
      </c>
      <c r="K36" s="83">
        <f>SUM(K34:K35)</f>
        <v>8559.0400000000009</v>
      </c>
      <c r="L36" s="84"/>
      <c r="M36" s="85"/>
    </row>
    <row r="37" spans="2:13" x14ac:dyDescent="0.25">
      <c r="B37" s="48" t="s">
        <v>50</v>
      </c>
      <c r="C37" s="59"/>
      <c r="D37" s="60"/>
      <c r="E37" s="61"/>
      <c r="F37" s="61"/>
      <c r="G37" s="59"/>
      <c r="H37" s="59"/>
      <c r="I37" s="59"/>
      <c r="J37" s="59"/>
      <c r="K37" s="59"/>
      <c r="L37" s="86">
        <f>SUM(L34:L35)</f>
        <v>99557.181175089165</v>
      </c>
      <c r="M37" s="2"/>
    </row>
  </sheetData>
  <mergeCells count="15">
    <mergeCell ref="I2:J2"/>
    <mergeCell ref="D9:E9"/>
    <mergeCell ref="E11:F11"/>
    <mergeCell ref="B30:C30"/>
    <mergeCell ref="E32:F32"/>
    <mergeCell ref="B11:B12"/>
    <mergeCell ref="B32:B33"/>
    <mergeCell ref="C11:C12"/>
    <mergeCell ref="C32:C33"/>
    <mergeCell ref="D11:D12"/>
    <mergeCell ref="D32:D33"/>
    <mergeCell ref="G11:G12"/>
    <mergeCell ref="G32:G33"/>
    <mergeCell ref="H11:H12"/>
    <mergeCell ref="H32:H33"/>
  </mergeCells>
  <pageMargins left="0.7" right="0.7" top="0.75" bottom="0.75" header="0.3" footer="0.3"/>
  <pageSetup paperSize="9" orientation="portrait" verticalDpi="36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A13" workbookViewId="0">
      <selection activeCell="G27" sqref="G27"/>
    </sheetView>
  </sheetViews>
  <sheetFormatPr defaultColWidth="9" defaultRowHeight="15" x14ac:dyDescent="0.25"/>
  <cols>
    <col min="1" max="1" width="28.5703125" customWidth="1"/>
    <col min="2" max="2" width="18.140625" customWidth="1"/>
    <col min="3" max="4" width="15.85546875" customWidth="1"/>
    <col min="5" max="5" width="15.140625" customWidth="1"/>
    <col min="6" max="6" width="16" customWidth="1"/>
    <col min="7" max="7" width="14.7109375" customWidth="1"/>
    <col min="8" max="8" width="21.42578125" customWidth="1"/>
    <col min="9" max="9" width="14.85546875" customWidth="1"/>
    <col min="10" max="10" width="16" customWidth="1"/>
    <col min="11" max="11" width="12.140625" customWidth="1"/>
    <col min="12" max="12" width="12.28515625" style="2" customWidth="1"/>
    <col min="13" max="13" width="15" customWidth="1"/>
    <col min="16" max="17" width="11.42578125" customWidth="1"/>
    <col min="21" max="21" width="7.5703125" customWidth="1"/>
    <col min="24" max="24" width="13.28515625" customWidth="1"/>
    <col min="26" max="26" width="25.85546875" customWidth="1"/>
    <col min="28" max="29" width="10.85546875" customWidth="1"/>
    <col min="30" max="30" width="12.5703125" customWidth="1"/>
  </cols>
  <sheetData>
    <row r="1" spans="1:13" ht="46.5" customHeight="1" x14ac:dyDescent="0.25">
      <c r="A1" s="3" t="s">
        <v>0</v>
      </c>
      <c r="B1" s="4">
        <f>C15+C16+C18+C17+C19+C20</f>
        <v>3253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/>
      <c r="K1" s="5" t="s">
        <v>7</v>
      </c>
    </row>
    <row r="2" spans="1:13" x14ac:dyDescent="0.25">
      <c r="A2" s="6" t="s">
        <v>8</v>
      </c>
      <c r="B2" s="7">
        <f>B4/B3</f>
        <v>11.423231815803243</v>
      </c>
      <c r="C2" s="8"/>
      <c r="D2" s="8"/>
      <c r="E2" s="8"/>
      <c r="F2" s="8"/>
      <c r="G2" s="8"/>
      <c r="H2" s="8"/>
      <c r="I2" s="8"/>
      <c r="J2" s="8" t="s">
        <v>56</v>
      </c>
      <c r="K2" s="8">
        <f>Жовтень!K5</f>
        <v>62059.199999999997</v>
      </c>
    </row>
    <row r="3" spans="1:13" x14ac:dyDescent="0.25">
      <c r="A3" s="9" t="s">
        <v>10</v>
      </c>
      <c r="B3" s="10">
        <f>18450+660</f>
        <v>19110</v>
      </c>
      <c r="C3" s="11">
        <f>B3</f>
        <v>19110</v>
      </c>
      <c r="D3" s="8">
        <f>I14+I13</f>
        <v>16610.000000000218</v>
      </c>
      <c r="E3" s="8"/>
      <c r="F3" s="8"/>
      <c r="G3" s="8"/>
      <c r="H3" s="8"/>
      <c r="I3" s="8"/>
      <c r="J3" s="8" t="s">
        <v>11</v>
      </c>
      <c r="K3" s="8">
        <f>I34*3</f>
        <v>32575.200000000004</v>
      </c>
    </row>
    <row r="4" spans="1:13" x14ac:dyDescent="0.25">
      <c r="A4" s="6" t="s">
        <v>12</v>
      </c>
      <c r="B4" s="12">
        <v>218297.96</v>
      </c>
      <c r="C4" s="8" t="s">
        <v>13</v>
      </c>
      <c r="D4" s="8">
        <f>I34</f>
        <v>10858.400000000001</v>
      </c>
      <c r="E4" s="8">
        <f>D4/D3*100</f>
        <v>65.372667068030452</v>
      </c>
      <c r="F4" s="8">
        <f>E4*C3/100</f>
        <v>12492.71667670062</v>
      </c>
      <c r="G4" s="8">
        <f>B5*E4/100</f>
        <v>10583.9982299818</v>
      </c>
      <c r="H4" s="13">
        <f>F4*B2+G4</f>
        <v>153291.19683708408</v>
      </c>
      <c r="I4" s="62"/>
      <c r="J4" s="8"/>
      <c r="K4" s="8">
        <f>K2-K3</f>
        <v>29483.999999999993</v>
      </c>
    </row>
    <row r="5" spans="1:13" x14ac:dyDescent="0.25">
      <c r="A5" s="14" t="s">
        <v>14</v>
      </c>
      <c r="B5" s="15">
        <f>14146.9+2043.35</f>
        <v>16190.25</v>
      </c>
      <c r="C5" s="8" t="s">
        <v>15</v>
      </c>
      <c r="D5" s="8">
        <f>D3-D4</f>
        <v>5751.6000000002168</v>
      </c>
      <c r="E5" s="8">
        <f>D5/D3*100</f>
        <v>34.627332931969548</v>
      </c>
      <c r="F5" s="8">
        <f>E5*C3/100</f>
        <v>6617.2833232993808</v>
      </c>
      <c r="G5" s="8">
        <f>B5*E5/100</f>
        <v>5606.2517700181997</v>
      </c>
      <c r="H5" s="13">
        <f>F5*B2+G5</f>
        <v>81197.013162915915</v>
      </c>
      <c r="I5" s="8"/>
      <c r="J5" s="8" t="s">
        <v>16</v>
      </c>
      <c r="K5" s="13">
        <f>K4+L5</f>
        <v>69684</v>
      </c>
      <c r="L5" s="2">
        <v>40200</v>
      </c>
      <c r="M5" t="s">
        <v>57</v>
      </c>
    </row>
    <row r="6" spans="1:13" x14ac:dyDescent="0.25">
      <c r="A6" s="16" t="s">
        <v>17</v>
      </c>
      <c r="B6" s="17">
        <f>SUM(B4:B5)</f>
        <v>234488.21</v>
      </c>
    </row>
    <row r="7" spans="1:13" x14ac:dyDescent="0.25">
      <c r="A7" s="18" t="s">
        <v>18</v>
      </c>
      <c r="B7" s="19"/>
      <c r="H7" s="20">
        <f>SUM(H4:H6)</f>
        <v>234488.21</v>
      </c>
      <c r="K7" s="64"/>
    </row>
    <row r="8" spans="1:13" x14ac:dyDescent="0.25">
      <c r="A8" s="18" t="s">
        <v>19</v>
      </c>
      <c r="B8" s="21"/>
    </row>
    <row r="9" spans="1:13" x14ac:dyDescent="0.25">
      <c r="A9" s="22"/>
      <c r="B9" s="23"/>
      <c r="C9" s="24"/>
      <c r="D9" s="109"/>
      <c r="E9" s="109"/>
      <c r="F9" s="24"/>
    </row>
    <row r="10" spans="1:13" x14ac:dyDescent="0.25">
      <c r="A10" s="25"/>
      <c r="B10" s="26"/>
    </row>
    <row r="11" spans="1:13" ht="15" customHeight="1" x14ac:dyDescent="0.25">
      <c r="B11" s="113" t="s">
        <v>20</v>
      </c>
      <c r="C11" s="110" t="s">
        <v>21</v>
      </c>
      <c r="D11" s="115" t="s">
        <v>22</v>
      </c>
      <c r="E11" s="110" t="s">
        <v>23</v>
      </c>
      <c r="F11" s="110"/>
      <c r="G11" s="110" t="s">
        <v>24</v>
      </c>
      <c r="H11" s="115" t="s">
        <v>25</v>
      </c>
      <c r="I11" s="24"/>
    </row>
    <row r="12" spans="1:13" ht="47.25" customHeight="1" x14ac:dyDescent="0.25">
      <c r="B12" s="110"/>
      <c r="C12" s="110"/>
      <c r="D12" s="115"/>
      <c r="E12" s="29" t="s">
        <v>58</v>
      </c>
      <c r="F12" s="29" t="s">
        <v>26</v>
      </c>
      <c r="G12" s="110"/>
      <c r="H12" s="115"/>
      <c r="I12" s="28" t="s">
        <v>28</v>
      </c>
      <c r="J12" s="65" t="s">
        <v>29</v>
      </c>
      <c r="K12" s="66" t="s">
        <v>30</v>
      </c>
      <c r="L12" s="67"/>
      <c r="M12" s="68"/>
    </row>
    <row r="13" spans="1:13" ht="47.25" customHeight="1" x14ac:dyDescent="0.25">
      <c r="B13" s="27" t="s">
        <v>31</v>
      </c>
      <c r="C13" s="27"/>
      <c r="D13" s="28"/>
      <c r="E13" s="31">
        <v>25536.83</v>
      </c>
      <c r="F13" s="29">
        <v>25536.83</v>
      </c>
      <c r="G13" s="32">
        <f>E13-F13</f>
        <v>0</v>
      </c>
      <c r="H13" s="33">
        <v>200</v>
      </c>
      <c r="I13" s="69">
        <v>0</v>
      </c>
      <c r="J13" s="65"/>
      <c r="K13" s="66"/>
      <c r="L13" s="67"/>
      <c r="M13" s="68"/>
    </row>
    <row r="14" spans="1:13" ht="47.25" customHeight="1" x14ac:dyDescent="0.25">
      <c r="B14" s="27" t="s">
        <v>32</v>
      </c>
      <c r="C14" s="27"/>
      <c r="D14" s="28"/>
      <c r="E14" s="31">
        <v>10005.370000000001</v>
      </c>
      <c r="F14" s="29">
        <v>9922.32</v>
      </c>
      <c r="G14" s="32">
        <f>E14-F14</f>
        <v>83.050000000001091</v>
      </c>
      <c r="H14" s="33">
        <v>200</v>
      </c>
      <c r="I14" s="33">
        <f t="shared" ref="I14:I15" si="0">H14*G14</f>
        <v>16610.000000000218</v>
      </c>
      <c r="J14" s="65"/>
      <c r="K14" s="66"/>
      <c r="L14" s="67"/>
      <c r="M14" s="68"/>
    </row>
    <row r="15" spans="1:13" x14ac:dyDescent="0.25">
      <c r="A15" s="34" t="s">
        <v>33</v>
      </c>
      <c r="B15" s="25" t="s">
        <v>34</v>
      </c>
      <c r="C15" s="32">
        <v>851</v>
      </c>
      <c r="D15" s="35">
        <v>821430</v>
      </c>
      <c r="E15" s="37">
        <v>12077</v>
      </c>
      <c r="F15" s="37">
        <v>12077</v>
      </c>
      <c r="G15" s="32">
        <f>E15-F15</f>
        <v>0</v>
      </c>
      <c r="H15" s="33">
        <v>30</v>
      </c>
      <c r="I15" s="33">
        <f t="shared" si="0"/>
        <v>0</v>
      </c>
      <c r="J15" s="32">
        <f>(I15*J7)-I15</f>
        <v>0</v>
      </c>
      <c r="K15" s="32">
        <f>J15+I15</f>
        <v>0</v>
      </c>
      <c r="L15" s="67">
        <f>K15*B2</f>
        <v>0</v>
      </c>
      <c r="M15" s="32"/>
    </row>
    <row r="16" spans="1:13" x14ac:dyDescent="0.25">
      <c r="A16" s="34" t="s">
        <v>35</v>
      </c>
      <c r="B16" s="25" t="s">
        <v>36</v>
      </c>
      <c r="C16" s="32">
        <v>839</v>
      </c>
      <c r="D16" s="35">
        <v>821436</v>
      </c>
      <c r="E16" s="37">
        <v>14163</v>
      </c>
      <c r="F16" s="37">
        <v>14163</v>
      </c>
      <c r="G16" s="32">
        <f t="shared" ref="G16:G25" si="1">E16-F16</f>
        <v>0</v>
      </c>
      <c r="H16" s="33">
        <v>30</v>
      </c>
      <c r="I16" s="33">
        <f t="shared" ref="I16:I25" si="2">H16*G16</f>
        <v>0</v>
      </c>
      <c r="J16" s="32">
        <f>(I16*J7)-I16</f>
        <v>0</v>
      </c>
      <c r="K16" s="32">
        <f t="shared" ref="K16:K23" si="3">J16+I16</f>
        <v>0</v>
      </c>
      <c r="L16" s="67">
        <f>K16*B2</f>
        <v>0</v>
      </c>
      <c r="M16" s="32"/>
    </row>
    <row r="17" spans="1:13" x14ac:dyDescent="0.25">
      <c r="A17" s="34"/>
      <c r="B17" s="25" t="s">
        <v>37</v>
      </c>
      <c r="C17" s="32">
        <v>428</v>
      </c>
      <c r="D17" s="35">
        <v>11829942</v>
      </c>
      <c r="E17" s="37">
        <v>2213</v>
      </c>
      <c r="F17" s="37">
        <v>2213</v>
      </c>
      <c r="G17" s="32">
        <f t="shared" si="1"/>
        <v>0</v>
      </c>
      <c r="H17" s="33">
        <v>40</v>
      </c>
      <c r="I17" s="33">
        <f t="shared" si="2"/>
        <v>0</v>
      </c>
      <c r="J17" s="32">
        <f>(I17*J7)-I17</f>
        <v>0</v>
      </c>
      <c r="K17" s="32">
        <f t="shared" si="3"/>
        <v>0</v>
      </c>
      <c r="L17" s="67">
        <f>K17*B2</f>
        <v>0</v>
      </c>
      <c r="M17" s="32"/>
    </row>
    <row r="18" spans="1:13" x14ac:dyDescent="0.25">
      <c r="A18" s="34"/>
      <c r="B18" s="25" t="s">
        <v>38</v>
      </c>
      <c r="C18" s="32">
        <v>415</v>
      </c>
      <c r="D18" s="35">
        <v>820614</v>
      </c>
      <c r="E18" s="37">
        <v>14226</v>
      </c>
      <c r="F18" s="37">
        <v>14226</v>
      </c>
      <c r="G18" s="32">
        <f t="shared" si="1"/>
        <v>0</v>
      </c>
      <c r="H18" s="33">
        <v>40</v>
      </c>
      <c r="I18" s="33">
        <f t="shared" si="2"/>
        <v>0</v>
      </c>
      <c r="J18" s="32">
        <f>(I18*J7)-I18</f>
        <v>0</v>
      </c>
      <c r="K18" s="32">
        <f t="shared" si="3"/>
        <v>0</v>
      </c>
      <c r="L18" s="67">
        <f>K18*B2</f>
        <v>0</v>
      </c>
      <c r="M18" s="32"/>
    </row>
    <row r="19" spans="1:13" x14ac:dyDescent="0.25">
      <c r="A19" s="34"/>
      <c r="B19" s="25" t="s">
        <v>39</v>
      </c>
      <c r="C19" s="32">
        <v>428</v>
      </c>
      <c r="D19" s="35">
        <v>820573</v>
      </c>
      <c r="E19" s="37">
        <v>10172</v>
      </c>
      <c r="F19" s="37">
        <v>10172</v>
      </c>
      <c r="G19" s="32">
        <f t="shared" si="1"/>
        <v>0</v>
      </c>
      <c r="H19" s="33">
        <v>40</v>
      </c>
      <c r="I19" s="33">
        <f t="shared" si="2"/>
        <v>0</v>
      </c>
      <c r="J19" s="32">
        <f>(I19*J7)-I19</f>
        <v>0</v>
      </c>
      <c r="K19" s="32">
        <f t="shared" si="3"/>
        <v>0</v>
      </c>
      <c r="L19" s="67">
        <f>K19*B3</f>
        <v>0</v>
      </c>
      <c r="M19" s="32"/>
    </row>
    <row r="20" spans="1:13" x14ac:dyDescent="0.25">
      <c r="A20" s="34"/>
      <c r="B20" s="25" t="s">
        <v>40</v>
      </c>
      <c r="C20" s="32">
        <v>292</v>
      </c>
      <c r="D20" s="35">
        <v>10808904</v>
      </c>
      <c r="E20" s="37">
        <v>11686</v>
      </c>
      <c r="F20" s="37">
        <v>11686</v>
      </c>
      <c r="G20" s="32">
        <f t="shared" si="1"/>
        <v>0</v>
      </c>
      <c r="H20" s="33">
        <v>1</v>
      </c>
      <c r="I20" s="33">
        <f t="shared" si="2"/>
        <v>0</v>
      </c>
      <c r="J20" s="32">
        <f t="shared" ref="J20:J25" si="4">(I20*J8)-I20</f>
        <v>0</v>
      </c>
      <c r="K20" s="32">
        <f t="shared" si="3"/>
        <v>0</v>
      </c>
      <c r="L20" s="67">
        <f>K20*B4</f>
        <v>0</v>
      </c>
      <c r="M20" s="32"/>
    </row>
    <row r="21" spans="1:13" x14ac:dyDescent="0.25">
      <c r="A21" s="34" t="s">
        <v>33</v>
      </c>
      <c r="B21" s="32" t="s">
        <v>41</v>
      </c>
      <c r="C21" s="32">
        <v>573</v>
      </c>
      <c r="D21" s="35">
        <v>945448</v>
      </c>
      <c r="E21" s="37">
        <v>190354</v>
      </c>
      <c r="F21" s="37">
        <v>188212</v>
      </c>
      <c r="G21" s="32">
        <f t="shared" si="1"/>
        <v>2142</v>
      </c>
      <c r="H21" s="33">
        <v>1</v>
      </c>
      <c r="I21" s="33">
        <f t="shared" si="2"/>
        <v>2142</v>
      </c>
      <c r="J21" s="32">
        <v>0</v>
      </c>
      <c r="K21" s="32">
        <f t="shared" si="3"/>
        <v>2142</v>
      </c>
      <c r="L21" s="67">
        <f>K21*B2</f>
        <v>24468.562549450548</v>
      </c>
      <c r="M21" s="32"/>
    </row>
    <row r="22" spans="1:13" x14ac:dyDescent="0.25">
      <c r="A22" s="34" t="s">
        <v>42</v>
      </c>
      <c r="B22" s="32" t="s">
        <v>43</v>
      </c>
      <c r="C22" s="32">
        <v>573</v>
      </c>
      <c r="D22" s="35">
        <v>945448</v>
      </c>
      <c r="E22" s="37">
        <v>625748</v>
      </c>
      <c r="F22" s="37">
        <v>624173</v>
      </c>
      <c r="G22" s="32">
        <f t="shared" si="1"/>
        <v>1575</v>
      </c>
      <c r="H22" s="33">
        <v>1</v>
      </c>
      <c r="I22" s="33">
        <f t="shared" si="2"/>
        <v>1575</v>
      </c>
      <c r="J22" s="32">
        <v>0</v>
      </c>
      <c r="K22" s="32">
        <f t="shared" si="3"/>
        <v>1575</v>
      </c>
      <c r="L22" s="67">
        <f>(K22*B2)</f>
        <v>17991.590109890109</v>
      </c>
      <c r="M22" s="32"/>
    </row>
    <row r="23" spans="1:13" x14ac:dyDescent="0.25">
      <c r="A23" s="34"/>
      <c r="B23" s="32" t="s">
        <v>44</v>
      </c>
      <c r="C23" s="32"/>
      <c r="D23" s="35">
        <v>906068</v>
      </c>
      <c r="E23" s="37">
        <v>402749</v>
      </c>
      <c r="F23" s="37">
        <v>402334</v>
      </c>
      <c r="G23" s="32">
        <f t="shared" si="1"/>
        <v>415</v>
      </c>
      <c r="H23" s="33">
        <v>1</v>
      </c>
      <c r="I23" s="33">
        <f t="shared" si="2"/>
        <v>415</v>
      </c>
      <c r="J23" s="32">
        <v>0</v>
      </c>
      <c r="K23" s="32">
        <f t="shared" si="3"/>
        <v>415</v>
      </c>
      <c r="L23" s="67">
        <f>K23*B2</f>
        <v>4740.6412035583462</v>
      </c>
      <c r="M23" s="32"/>
    </row>
    <row r="24" spans="1:13" s="1" customFormat="1" x14ac:dyDescent="0.25">
      <c r="A24" s="38"/>
      <c r="B24" s="39" t="s">
        <v>45</v>
      </c>
      <c r="C24" s="39" t="s">
        <v>46</v>
      </c>
      <c r="D24" s="40">
        <v>8638117</v>
      </c>
      <c r="E24" s="41">
        <v>14708</v>
      </c>
      <c r="F24" s="41">
        <v>14708</v>
      </c>
      <c r="G24" s="39">
        <f t="shared" si="1"/>
        <v>0</v>
      </c>
      <c r="H24" s="42">
        <v>160</v>
      </c>
      <c r="I24" s="42">
        <f t="shared" si="2"/>
        <v>0</v>
      </c>
      <c r="J24" s="70">
        <v>0</v>
      </c>
      <c r="K24" s="39">
        <f>(J24+I24)*0.647</f>
        <v>0</v>
      </c>
      <c r="L24" s="71">
        <f>(K24*B2)</f>
        <v>0</v>
      </c>
      <c r="M24" s="71"/>
    </row>
    <row r="25" spans="1:13" s="1" customFormat="1" x14ac:dyDescent="0.25">
      <c r="A25" s="38"/>
      <c r="B25" s="39" t="s">
        <v>47</v>
      </c>
      <c r="C25" s="39" t="s">
        <v>46</v>
      </c>
      <c r="D25" s="40">
        <v>915199</v>
      </c>
      <c r="E25" s="41">
        <v>176409</v>
      </c>
      <c r="F25" s="41">
        <v>176409</v>
      </c>
      <c r="G25" s="39">
        <f t="shared" si="1"/>
        <v>0</v>
      </c>
      <c r="H25" s="42">
        <v>1</v>
      </c>
      <c r="I25" s="42">
        <f t="shared" si="2"/>
        <v>0</v>
      </c>
      <c r="J25" s="70">
        <f t="shared" si="4"/>
        <v>0</v>
      </c>
      <c r="K25" s="39">
        <f>(J25+I25)*0.647</f>
        <v>0</v>
      </c>
      <c r="L25" s="71">
        <f>(K25*B2)</f>
        <v>0</v>
      </c>
      <c r="M25" s="71"/>
    </row>
    <row r="26" spans="1:13" x14ac:dyDescent="0.25">
      <c r="B26" s="32" t="s">
        <v>48</v>
      </c>
      <c r="C26" s="32" t="s">
        <v>46</v>
      </c>
      <c r="D26" s="43"/>
      <c r="E26" s="25"/>
      <c r="F26" s="25"/>
      <c r="G26" s="39"/>
      <c r="H26" s="32"/>
      <c r="I26" s="32"/>
      <c r="J26" s="32"/>
      <c r="K26" s="32"/>
      <c r="L26" s="67">
        <f>B5*J7</f>
        <v>0</v>
      </c>
    </row>
    <row r="27" spans="1:13" x14ac:dyDescent="0.25">
      <c r="B27" s="32" t="s">
        <v>59</v>
      </c>
      <c r="C27" s="32"/>
      <c r="D27" s="43"/>
      <c r="E27" s="25">
        <v>145150</v>
      </c>
      <c r="F27" s="32">
        <v>144629</v>
      </c>
      <c r="G27" s="39">
        <f t="shared" ref="G27" si="5">E27-F27</f>
        <v>521</v>
      </c>
      <c r="H27" s="32">
        <v>1</v>
      </c>
      <c r="I27" s="33">
        <f>H27*G27</f>
        <v>521</v>
      </c>
      <c r="J27" s="32"/>
      <c r="K27" s="32"/>
      <c r="L27" s="67"/>
    </row>
    <row r="28" spans="1:13" x14ac:dyDescent="0.25">
      <c r="B28" s="44" t="s">
        <v>49</v>
      </c>
      <c r="C28" s="45"/>
      <c r="D28" s="46"/>
      <c r="E28" s="47"/>
      <c r="F28" s="47"/>
      <c r="G28" s="45"/>
      <c r="H28" s="45"/>
      <c r="I28" s="72">
        <f>SUM(I15:I27)</f>
        <v>4653</v>
      </c>
      <c r="J28" s="45">
        <f>J6*J7</f>
        <v>0</v>
      </c>
      <c r="K28" s="73">
        <f>J28+I28</f>
        <v>4653</v>
      </c>
      <c r="L28" s="74"/>
      <c r="M28" s="85"/>
    </row>
    <row r="29" spans="1:13" x14ac:dyDescent="0.25">
      <c r="B29" s="48" t="s">
        <v>50</v>
      </c>
      <c r="C29" s="59"/>
      <c r="D29" s="60"/>
      <c r="E29" s="61"/>
      <c r="F29" s="61"/>
      <c r="G29" s="59"/>
      <c r="H29" s="59"/>
      <c r="I29" s="59"/>
      <c r="J29" s="59"/>
      <c r="K29" s="59"/>
      <c r="L29" s="86">
        <f>SUM(L15:L26)</f>
        <v>47200.793862899009</v>
      </c>
      <c r="M29" s="2"/>
    </row>
    <row r="31" spans="1:13" x14ac:dyDescent="0.25">
      <c r="B31" s="109" t="s">
        <v>51</v>
      </c>
      <c r="C31" s="109"/>
      <c r="D31" s="24"/>
    </row>
    <row r="32" spans="1:13" x14ac:dyDescent="0.25">
      <c r="B32" s="114" t="s">
        <v>20</v>
      </c>
      <c r="C32" s="114" t="s">
        <v>21</v>
      </c>
      <c r="D32" s="116" t="s">
        <v>22</v>
      </c>
      <c r="E32" s="111" t="s">
        <v>23</v>
      </c>
      <c r="F32" s="112"/>
      <c r="G32" s="114" t="s">
        <v>24</v>
      </c>
      <c r="H32" s="116" t="s">
        <v>25</v>
      </c>
      <c r="I32" s="24"/>
    </row>
    <row r="33" spans="2:13" ht="30" x14ac:dyDescent="0.25">
      <c r="B33" s="113"/>
      <c r="C33" s="113"/>
      <c r="D33" s="117"/>
      <c r="E33" s="29" t="s">
        <v>58</v>
      </c>
      <c r="F33" s="29" t="s">
        <v>26</v>
      </c>
      <c r="G33" s="113"/>
      <c r="H33" s="117"/>
      <c r="I33" s="28" t="s">
        <v>52</v>
      </c>
      <c r="J33" s="65" t="s">
        <v>53</v>
      </c>
      <c r="K33" s="66" t="s">
        <v>30</v>
      </c>
      <c r="L33" s="67" t="s">
        <v>54</v>
      </c>
      <c r="M33" s="68"/>
    </row>
    <row r="34" spans="2:13" x14ac:dyDescent="0.25">
      <c r="B34" s="25" t="s">
        <v>55</v>
      </c>
      <c r="C34" s="32"/>
      <c r="D34" s="35">
        <v>821430</v>
      </c>
      <c r="E34" s="25">
        <v>212.15</v>
      </c>
      <c r="F34" s="25">
        <v>76.42</v>
      </c>
      <c r="G34" s="32">
        <f>E34-F34</f>
        <v>135.73000000000002</v>
      </c>
      <c r="H34" s="33">
        <v>80</v>
      </c>
      <c r="I34" s="33">
        <f>H34*G34</f>
        <v>10858.400000000001</v>
      </c>
      <c r="J34" s="32">
        <f>J6*J8</f>
        <v>0</v>
      </c>
      <c r="K34" s="32">
        <f>J34+I34</f>
        <v>10858.400000000001</v>
      </c>
      <c r="L34" s="67">
        <f>K34*B2</f>
        <v>124038.02034871795</v>
      </c>
      <c r="M34" s="32"/>
    </row>
    <row r="35" spans="2:13" x14ac:dyDescent="0.25">
      <c r="B35" s="52" t="s">
        <v>48</v>
      </c>
      <c r="C35" s="52" t="s">
        <v>46</v>
      </c>
      <c r="D35" s="53"/>
      <c r="E35" s="54"/>
      <c r="F35" s="54"/>
      <c r="G35" s="52"/>
      <c r="H35" s="52"/>
      <c r="I35" s="52"/>
      <c r="J35" s="52"/>
      <c r="K35" s="52"/>
      <c r="L35" s="80">
        <f>(B5*J8)</f>
        <v>0</v>
      </c>
      <c r="M35" s="81"/>
    </row>
    <row r="36" spans="2:13" x14ac:dyDescent="0.25">
      <c r="B36" s="55" t="s">
        <v>49</v>
      </c>
      <c r="C36" s="56"/>
      <c r="D36" s="57"/>
      <c r="E36" s="58"/>
      <c r="F36" s="58"/>
      <c r="G36" s="56"/>
      <c r="H36" s="56"/>
      <c r="I36" s="82">
        <f>SUM(I34:I35)</f>
        <v>10858.400000000001</v>
      </c>
      <c r="J36" s="56">
        <f>SUM(J34:J35)-532.32</f>
        <v>-532.32000000000005</v>
      </c>
      <c r="K36" s="83">
        <f>SUM(K34:K35)</f>
        <v>10858.400000000001</v>
      </c>
      <c r="L36" s="84"/>
      <c r="M36" s="85"/>
    </row>
    <row r="37" spans="2:13" x14ac:dyDescent="0.25">
      <c r="B37" s="48" t="s">
        <v>50</v>
      </c>
      <c r="C37" s="59"/>
      <c r="D37" s="60"/>
      <c r="E37" s="61"/>
      <c r="F37" s="61"/>
      <c r="G37" s="59"/>
      <c r="H37" s="59"/>
      <c r="I37" s="59"/>
      <c r="J37" s="59"/>
      <c r="K37" s="59"/>
      <c r="L37" s="86">
        <f>SUM(L34:L35)</f>
        <v>124038.02034871795</v>
      </c>
      <c r="M37" s="2"/>
    </row>
    <row r="39" spans="2:13" x14ac:dyDescent="0.25">
      <c r="I39" s="87">
        <f>I36+I28</f>
        <v>15511.400000000001</v>
      </c>
      <c r="K39" s="64">
        <f>K36+K28</f>
        <v>15511.400000000001</v>
      </c>
    </row>
  </sheetData>
  <mergeCells count="14">
    <mergeCell ref="B31:C31"/>
    <mergeCell ref="E32:F32"/>
    <mergeCell ref="B11:B12"/>
    <mergeCell ref="B32:B33"/>
    <mergeCell ref="C11:C12"/>
    <mergeCell ref="C32:C33"/>
    <mergeCell ref="D11:D12"/>
    <mergeCell ref="D32:D33"/>
    <mergeCell ref="G11:G12"/>
    <mergeCell ref="G32:G33"/>
    <mergeCell ref="H11:H12"/>
    <mergeCell ref="H32:H33"/>
    <mergeCell ref="D9:E9"/>
    <mergeCell ref="E11:F11"/>
  </mergeCells>
  <pageMargins left="0.7" right="0.7" top="0.75" bottom="0.75" header="0.3" footer="0.3"/>
  <pageSetup paperSize="9" orientation="portrait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7" workbookViewId="0">
      <selection activeCell="H28" sqref="H28"/>
    </sheetView>
  </sheetViews>
  <sheetFormatPr defaultColWidth="9" defaultRowHeight="15" x14ac:dyDescent="0.25"/>
  <cols>
    <col min="1" max="1" width="28.5703125" customWidth="1"/>
    <col min="2" max="2" width="18.140625" customWidth="1"/>
    <col min="3" max="4" width="15.85546875" customWidth="1"/>
    <col min="5" max="5" width="15.140625" customWidth="1"/>
    <col min="6" max="6" width="16" customWidth="1"/>
    <col min="7" max="7" width="14.7109375" customWidth="1"/>
    <col min="8" max="8" width="21.42578125" customWidth="1"/>
    <col min="9" max="9" width="14.85546875" customWidth="1"/>
    <col min="10" max="10" width="16" customWidth="1"/>
    <col min="11" max="11" width="12.140625" customWidth="1"/>
    <col min="12" max="12" width="12.28515625" style="2" customWidth="1"/>
    <col min="13" max="13" width="15" customWidth="1"/>
    <col min="16" max="17" width="11.42578125" customWidth="1"/>
    <col min="21" max="21" width="7.5703125" customWidth="1"/>
    <col min="24" max="24" width="13.28515625" customWidth="1"/>
    <col min="26" max="26" width="25.85546875" customWidth="1"/>
    <col min="28" max="29" width="10.85546875" customWidth="1"/>
    <col min="30" max="30" width="12.5703125" customWidth="1"/>
  </cols>
  <sheetData>
    <row r="1" spans="1:13" ht="46.5" customHeight="1" x14ac:dyDescent="0.25">
      <c r="A1" s="3" t="s">
        <v>0</v>
      </c>
      <c r="B1" s="4">
        <f>C15+C16+C18+C17+C19+C20</f>
        <v>3253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/>
      <c r="K1" s="5" t="s">
        <v>7</v>
      </c>
    </row>
    <row r="2" spans="1:13" x14ac:dyDescent="0.25">
      <c r="A2" s="6" t="s">
        <v>8</v>
      </c>
      <c r="B2" s="7">
        <f>B4/B3</f>
        <v>11.539283996683251</v>
      </c>
      <c r="C2" s="8"/>
      <c r="D2" s="8"/>
      <c r="E2" s="8"/>
      <c r="F2" s="8"/>
      <c r="G2" s="8"/>
      <c r="H2" s="8"/>
      <c r="I2" s="8"/>
      <c r="J2" s="8" t="s">
        <v>56</v>
      </c>
      <c r="K2" s="8">
        <f>Жовтень!K5</f>
        <v>62059.199999999997</v>
      </c>
    </row>
    <row r="3" spans="1:13" x14ac:dyDescent="0.25">
      <c r="A3" s="9" t="s">
        <v>10</v>
      </c>
      <c r="B3" s="10">
        <v>24120</v>
      </c>
      <c r="C3" s="11">
        <f>B3</f>
        <v>24120</v>
      </c>
      <c r="D3" s="8">
        <f>I14+I13</f>
        <v>22219.999999999709</v>
      </c>
      <c r="E3" s="8"/>
      <c r="F3" s="8"/>
      <c r="G3" s="8"/>
      <c r="H3" s="8"/>
      <c r="I3" s="8"/>
      <c r="J3" s="8" t="s">
        <v>11</v>
      </c>
      <c r="K3" s="8">
        <f>I34*3</f>
        <v>43713.600000000006</v>
      </c>
    </row>
    <row r="4" spans="1:13" x14ac:dyDescent="0.25">
      <c r="A4" s="6" t="s">
        <v>12</v>
      </c>
      <c r="B4" s="12">
        <v>278327.53000000003</v>
      </c>
      <c r="C4" s="8" t="s">
        <v>13</v>
      </c>
      <c r="D4" s="8">
        <f>I34</f>
        <v>14571.2</v>
      </c>
      <c r="E4" s="8">
        <f>D4/D3*100</f>
        <v>65.576957695770446</v>
      </c>
      <c r="F4" s="8">
        <f>E4*C3/100</f>
        <v>15817.162196219831</v>
      </c>
      <c r="G4" s="8">
        <f>B5*E4/100</f>
        <v>10716.67823438358</v>
      </c>
      <c r="H4" s="13">
        <f>F4*B2+G4</f>
        <v>193235.40483816637</v>
      </c>
      <c r="I4" s="62"/>
      <c r="J4" s="8"/>
      <c r="K4" s="8">
        <f>K2-K3</f>
        <v>18345.599999999991</v>
      </c>
    </row>
    <row r="5" spans="1:13" x14ac:dyDescent="0.25">
      <c r="A5" s="14" t="s">
        <v>14</v>
      </c>
      <c r="B5" s="15">
        <f>14298.79+2043.35</f>
        <v>16342.140000000001</v>
      </c>
      <c r="C5" s="8" t="s">
        <v>15</v>
      </c>
      <c r="D5" s="8">
        <f>D3-D4</f>
        <v>7648.7999999997082</v>
      </c>
      <c r="E5" s="8">
        <f>D5/D3*100</f>
        <v>34.423042304229561</v>
      </c>
      <c r="F5" s="8">
        <f>E5*C3/100</f>
        <v>8302.8378037801704</v>
      </c>
      <c r="G5" s="8">
        <f>B5*E5/100</f>
        <v>5625.461765616421</v>
      </c>
      <c r="H5" s="13">
        <f>F5*B2+G5</f>
        <v>101434.26516183365</v>
      </c>
      <c r="I5" s="8"/>
      <c r="J5" s="8" t="s">
        <v>16</v>
      </c>
      <c r="K5" s="63">
        <f>K4+L5</f>
        <v>58545.599999999991</v>
      </c>
      <c r="L5" s="2">
        <v>40200</v>
      </c>
      <c r="M5" t="s">
        <v>57</v>
      </c>
    </row>
    <row r="6" spans="1:13" x14ac:dyDescent="0.25">
      <c r="A6" s="16" t="s">
        <v>17</v>
      </c>
      <c r="B6" s="17">
        <f>SUM(B4:B5)</f>
        <v>294669.67000000004</v>
      </c>
    </row>
    <row r="7" spans="1:13" x14ac:dyDescent="0.25">
      <c r="A7" s="18" t="s">
        <v>18</v>
      </c>
      <c r="B7" s="19"/>
      <c r="H7" s="20">
        <f>SUM(H4:H6)</f>
        <v>294669.67000000004</v>
      </c>
      <c r="K7" s="64"/>
    </row>
    <row r="8" spans="1:13" x14ac:dyDescent="0.25">
      <c r="A8" s="18" t="s">
        <v>19</v>
      </c>
      <c r="B8" s="21"/>
    </row>
    <row r="9" spans="1:13" x14ac:dyDescent="0.25">
      <c r="A9" s="22"/>
      <c r="B9" s="23"/>
      <c r="C9" s="24"/>
      <c r="D9" s="109"/>
      <c r="E9" s="109"/>
      <c r="F9" s="24"/>
    </row>
    <row r="10" spans="1:13" x14ac:dyDescent="0.25">
      <c r="A10" s="25"/>
      <c r="B10" s="26"/>
    </row>
    <row r="11" spans="1:13" ht="15" customHeight="1" x14ac:dyDescent="0.25">
      <c r="B11" s="113" t="s">
        <v>20</v>
      </c>
      <c r="C11" s="110" t="s">
        <v>21</v>
      </c>
      <c r="D11" s="115" t="s">
        <v>22</v>
      </c>
      <c r="E11" s="110" t="s">
        <v>23</v>
      </c>
      <c r="F11" s="110"/>
      <c r="G11" s="110" t="s">
        <v>24</v>
      </c>
      <c r="H11" s="115" t="s">
        <v>25</v>
      </c>
      <c r="I11" s="24"/>
    </row>
    <row r="12" spans="1:13" ht="47.25" customHeight="1" x14ac:dyDescent="0.25">
      <c r="B12" s="110"/>
      <c r="C12" s="110"/>
      <c r="D12" s="115"/>
      <c r="E12" s="29" t="s">
        <v>60</v>
      </c>
      <c r="F12" s="29" t="s">
        <v>61</v>
      </c>
      <c r="G12" s="110"/>
      <c r="H12" s="115"/>
      <c r="I12" s="28" t="s">
        <v>28</v>
      </c>
      <c r="J12" s="65" t="s">
        <v>29</v>
      </c>
      <c r="K12" s="66" t="s">
        <v>30</v>
      </c>
      <c r="L12" s="67"/>
      <c r="M12" s="68"/>
    </row>
    <row r="13" spans="1:13" ht="47.25" customHeight="1" x14ac:dyDescent="0.25">
      <c r="B13" s="27" t="s">
        <v>31</v>
      </c>
      <c r="C13" s="27"/>
      <c r="D13" s="28"/>
      <c r="E13" s="30">
        <v>25536.84</v>
      </c>
      <c r="F13" s="31">
        <v>25536.83</v>
      </c>
      <c r="G13" s="32">
        <f>E13-F13</f>
        <v>9.9999999983992893E-3</v>
      </c>
      <c r="H13" s="33">
        <v>200</v>
      </c>
      <c r="I13" s="69">
        <v>0</v>
      </c>
      <c r="J13" s="65"/>
      <c r="K13" s="66"/>
      <c r="L13" s="67"/>
      <c r="M13" s="68"/>
    </row>
    <row r="14" spans="1:13" ht="47.25" customHeight="1" x14ac:dyDescent="0.25">
      <c r="B14" s="27" t="s">
        <v>32</v>
      </c>
      <c r="C14" s="27"/>
      <c r="D14" s="28"/>
      <c r="E14" s="30">
        <v>10116.469999999999</v>
      </c>
      <c r="F14" s="31">
        <v>10005.370000000001</v>
      </c>
      <c r="G14" s="32">
        <f>E14-F14</f>
        <v>111.09999999999854</v>
      </c>
      <c r="H14" s="33">
        <v>200</v>
      </c>
      <c r="I14" s="33">
        <f t="shared" ref="I14:I15" si="0">H14*G14</f>
        <v>22219.999999999709</v>
      </c>
      <c r="J14" s="65"/>
      <c r="K14" s="66"/>
      <c r="L14" s="67"/>
      <c r="M14" s="68"/>
    </row>
    <row r="15" spans="1:13" x14ac:dyDescent="0.25">
      <c r="A15" s="34" t="s">
        <v>33</v>
      </c>
      <c r="B15" s="25" t="s">
        <v>34</v>
      </c>
      <c r="C15" s="32">
        <v>851</v>
      </c>
      <c r="D15" s="35">
        <v>821430</v>
      </c>
      <c r="E15" s="36">
        <v>12077</v>
      </c>
      <c r="F15" s="37">
        <v>12077</v>
      </c>
      <c r="G15" s="32">
        <f>E15-F15</f>
        <v>0</v>
      </c>
      <c r="H15" s="33">
        <v>30</v>
      </c>
      <c r="I15" s="33">
        <f t="shared" si="0"/>
        <v>0</v>
      </c>
      <c r="J15" s="32">
        <f>(I15*J7)-I15</f>
        <v>0</v>
      </c>
      <c r="K15" s="32">
        <f>J15+I15</f>
        <v>0</v>
      </c>
      <c r="L15" s="67">
        <f>K15*B2</f>
        <v>0</v>
      </c>
      <c r="M15" s="32"/>
    </row>
    <row r="16" spans="1:13" x14ac:dyDescent="0.25">
      <c r="A16" s="34" t="s">
        <v>35</v>
      </c>
      <c r="B16" s="25" t="s">
        <v>36</v>
      </c>
      <c r="C16" s="32">
        <v>839</v>
      </c>
      <c r="D16" s="35">
        <v>821436</v>
      </c>
      <c r="E16" s="36">
        <v>14163</v>
      </c>
      <c r="F16" s="37">
        <v>14163</v>
      </c>
      <c r="G16" s="32">
        <f t="shared" ref="G16:G25" si="1">E16-F16</f>
        <v>0</v>
      </c>
      <c r="H16" s="33">
        <v>30</v>
      </c>
      <c r="I16" s="33">
        <f t="shared" ref="I16:I25" si="2">H16*G16</f>
        <v>0</v>
      </c>
      <c r="J16" s="32">
        <f>(I16*J7)-I16</f>
        <v>0</v>
      </c>
      <c r="K16" s="32">
        <f t="shared" ref="K16:K23" si="3">J16+I16</f>
        <v>0</v>
      </c>
      <c r="L16" s="67">
        <f>K16*B2</f>
        <v>0</v>
      </c>
      <c r="M16" s="32"/>
    </row>
    <row r="17" spans="1:13" x14ac:dyDescent="0.25">
      <c r="A17" s="34"/>
      <c r="B17" s="25" t="s">
        <v>37</v>
      </c>
      <c r="C17" s="32">
        <v>428</v>
      </c>
      <c r="D17" s="35">
        <v>11829942</v>
      </c>
      <c r="E17" s="36">
        <v>2213</v>
      </c>
      <c r="F17" s="37">
        <v>2213</v>
      </c>
      <c r="G17" s="32">
        <f t="shared" si="1"/>
        <v>0</v>
      </c>
      <c r="H17" s="33">
        <v>40</v>
      </c>
      <c r="I17" s="33">
        <f t="shared" si="2"/>
        <v>0</v>
      </c>
      <c r="J17" s="32">
        <f>(I17*J7)-I17</f>
        <v>0</v>
      </c>
      <c r="K17" s="32">
        <f t="shared" si="3"/>
        <v>0</v>
      </c>
      <c r="L17" s="67">
        <f>K17*B2</f>
        <v>0</v>
      </c>
      <c r="M17" s="32"/>
    </row>
    <row r="18" spans="1:13" x14ac:dyDescent="0.25">
      <c r="A18" s="34"/>
      <c r="B18" s="25" t="s">
        <v>38</v>
      </c>
      <c r="C18" s="32">
        <v>415</v>
      </c>
      <c r="D18" s="35">
        <v>820614</v>
      </c>
      <c r="E18" s="36">
        <v>14226</v>
      </c>
      <c r="F18" s="37">
        <v>14226</v>
      </c>
      <c r="G18" s="32">
        <f t="shared" si="1"/>
        <v>0</v>
      </c>
      <c r="H18" s="33">
        <v>40</v>
      </c>
      <c r="I18" s="33">
        <f t="shared" si="2"/>
        <v>0</v>
      </c>
      <c r="J18" s="32">
        <f>(I18*J7)-I18</f>
        <v>0</v>
      </c>
      <c r="K18" s="32">
        <f t="shared" si="3"/>
        <v>0</v>
      </c>
      <c r="L18" s="67">
        <f>K18*B2</f>
        <v>0</v>
      </c>
      <c r="M18" s="32"/>
    </row>
    <row r="19" spans="1:13" x14ac:dyDescent="0.25">
      <c r="A19" s="34"/>
      <c r="B19" s="25" t="s">
        <v>39</v>
      </c>
      <c r="C19" s="32">
        <v>428</v>
      </c>
      <c r="D19" s="35">
        <v>820573</v>
      </c>
      <c r="E19" s="36">
        <v>10172</v>
      </c>
      <c r="F19" s="37">
        <v>10172</v>
      </c>
      <c r="G19" s="32">
        <f t="shared" si="1"/>
        <v>0</v>
      </c>
      <c r="H19" s="33">
        <v>40</v>
      </c>
      <c r="I19" s="33">
        <f t="shared" si="2"/>
        <v>0</v>
      </c>
      <c r="J19" s="32">
        <f>(I19*J7)-I19</f>
        <v>0</v>
      </c>
      <c r="K19" s="32">
        <f t="shared" si="3"/>
        <v>0</v>
      </c>
      <c r="L19" s="67">
        <f>K19*B3</f>
        <v>0</v>
      </c>
      <c r="M19" s="32"/>
    </row>
    <row r="20" spans="1:13" x14ac:dyDescent="0.25">
      <c r="A20" s="34"/>
      <c r="B20" s="25" t="s">
        <v>40</v>
      </c>
      <c r="C20" s="32">
        <v>292</v>
      </c>
      <c r="D20" s="35">
        <v>10808904</v>
      </c>
      <c r="E20" s="36">
        <v>11686</v>
      </c>
      <c r="F20" s="37">
        <v>11686</v>
      </c>
      <c r="G20" s="32">
        <f t="shared" si="1"/>
        <v>0</v>
      </c>
      <c r="H20" s="33">
        <v>1</v>
      </c>
      <c r="I20" s="33">
        <f t="shared" si="2"/>
        <v>0</v>
      </c>
      <c r="J20" s="32">
        <f t="shared" ref="J20:J25" si="4">(I20*J8)-I20</f>
        <v>0</v>
      </c>
      <c r="K20" s="32">
        <f t="shared" si="3"/>
        <v>0</v>
      </c>
      <c r="L20" s="67">
        <f>K20*B4</f>
        <v>0</v>
      </c>
      <c r="M20" s="32"/>
    </row>
    <row r="21" spans="1:13" x14ac:dyDescent="0.25">
      <c r="A21" s="34" t="s">
        <v>33</v>
      </c>
      <c r="B21" s="32" t="s">
        <v>41</v>
      </c>
      <c r="C21" s="32">
        <v>573</v>
      </c>
      <c r="D21" s="35">
        <v>945448</v>
      </c>
      <c r="E21" s="36">
        <v>193524</v>
      </c>
      <c r="F21" s="37">
        <v>190354</v>
      </c>
      <c r="G21" s="32">
        <f t="shared" si="1"/>
        <v>3170</v>
      </c>
      <c r="H21" s="33">
        <v>1</v>
      </c>
      <c r="I21" s="33">
        <f t="shared" si="2"/>
        <v>3170</v>
      </c>
      <c r="J21" s="32">
        <v>0</v>
      </c>
      <c r="K21" s="32">
        <f t="shared" si="3"/>
        <v>3170</v>
      </c>
      <c r="L21" s="67">
        <f>K21*B2</f>
        <v>36579.530269485906</v>
      </c>
      <c r="M21" s="32"/>
    </row>
    <row r="22" spans="1:13" x14ac:dyDescent="0.25">
      <c r="A22" s="34" t="s">
        <v>42</v>
      </c>
      <c r="B22" s="32" t="s">
        <v>43</v>
      </c>
      <c r="C22" s="32">
        <v>573</v>
      </c>
      <c r="D22" s="35">
        <v>945448</v>
      </c>
      <c r="E22" s="36">
        <v>627708</v>
      </c>
      <c r="F22" s="37">
        <v>625748</v>
      </c>
      <c r="G22" s="32">
        <f t="shared" si="1"/>
        <v>1960</v>
      </c>
      <c r="H22" s="33">
        <v>1</v>
      </c>
      <c r="I22" s="33">
        <f t="shared" si="2"/>
        <v>1960</v>
      </c>
      <c r="J22" s="32">
        <v>0</v>
      </c>
      <c r="K22" s="32">
        <f t="shared" si="3"/>
        <v>1960</v>
      </c>
      <c r="L22" s="67">
        <f>(K22*B2)</f>
        <v>22616.996633499173</v>
      </c>
      <c r="M22" s="32"/>
    </row>
    <row r="23" spans="1:13" x14ac:dyDescent="0.25">
      <c r="A23" s="34"/>
      <c r="B23" s="32" t="s">
        <v>44</v>
      </c>
      <c r="C23" s="32"/>
      <c r="D23" s="35">
        <v>906068</v>
      </c>
      <c r="E23" s="36">
        <v>403909</v>
      </c>
      <c r="F23" s="37">
        <v>402749</v>
      </c>
      <c r="G23" s="32">
        <f t="shared" si="1"/>
        <v>1160</v>
      </c>
      <c r="H23" s="33">
        <v>1</v>
      </c>
      <c r="I23" s="33">
        <f t="shared" si="2"/>
        <v>1160</v>
      </c>
      <c r="J23" s="32">
        <v>0</v>
      </c>
      <c r="K23" s="32">
        <f t="shared" si="3"/>
        <v>1160</v>
      </c>
      <c r="L23" s="67">
        <f>K23*B2</f>
        <v>13385.569436152571</v>
      </c>
      <c r="M23" s="32"/>
    </row>
    <row r="24" spans="1:13" s="1" customFormat="1" x14ac:dyDescent="0.25">
      <c r="A24" s="38"/>
      <c r="B24" s="39" t="s">
        <v>45</v>
      </c>
      <c r="C24" s="39" t="s">
        <v>46</v>
      </c>
      <c r="D24" s="40">
        <v>8638117</v>
      </c>
      <c r="E24" s="41">
        <v>14708</v>
      </c>
      <c r="F24" s="41">
        <v>14708</v>
      </c>
      <c r="G24" s="39">
        <f t="shared" si="1"/>
        <v>0</v>
      </c>
      <c r="H24" s="42">
        <v>160</v>
      </c>
      <c r="I24" s="42">
        <f t="shared" si="2"/>
        <v>0</v>
      </c>
      <c r="J24" s="70">
        <v>0</v>
      </c>
      <c r="K24" s="39">
        <f>(J24+I24)*0.647</f>
        <v>0</v>
      </c>
      <c r="L24" s="71">
        <f>(K24*B2)</f>
        <v>0</v>
      </c>
      <c r="M24" s="71"/>
    </row>
    <row r="25" spans="1:13" s="1" customFormat="1" x14ac:dyDescent="0.25">
      <c r="A25" s="38"/>
      <c r="B25" s="39" t="s">
        <v>47</v>
      </c>
      <c r="C25" s="39" t="s">
        <v>46</v>
      </c>
      <c r="D25" s="40">
        <v>915199</v>
      </c>
      <c r="E25" s="41">
        <v>176409</v>
      </c>
      <c r="F25" s="41">
        <v>176409</v>
      </c>
      <c r="G25" s="39">
        <f t="shared" si="1"/>
        <v>0</v>
      </c>
      <c r="H25" s="42">
        <v>1</v>
      </c>
      <c r="I25" s="42">
        <f t="shared" si="2"/>
        <v>0</v>
      </c>
      <c r="J25" s="70">
        <f t="shared" si="4"/>
        <v>0</v>
      </c>
      <c r="K25" s="39">
        <f>(J25+I25)*0.647</f>
        <v>0</v>
      </c>
      <c r="L25" s="71">
        <f>(K25*B2)</f>
        <v>0</v>
      </c>
      <c r="M25" s="71"/>
    </row>
    <row r="26" spans="1:13" x14ac:dyDescent="0.25">
      <c r="B26" s="32" t="s">
        <v>48</v>
      </c>
      <c r="C26" s="32" t="s">
        <v>46</v>
      </c>
      <c r="D26" s="43"/>
      <c r="E26" s="25"/>
      <c r="F26" s="25"/>
      <c r="G26" s="39"/>
      <c r="H26" s="32"/>
      <c r="I26" s="32"/>
      <c r="J26" s="32"/>
      <c r="K26" s="32"/>
      <c r="L26" s="67">
        <f>B5*J7</f>
        <v>0</v>
      </c>
    </row>
    <row r="27" spans="1:13" x14ac:dyDescent="0.25">
      <c r="B27" s="32" t="s">
        <v>59</v>
      </c>
      <c r="C27" s="32"/>
      <c r="D27" s="43"/>
      <c r="E27" s="25">
        <v>146037</v>
      </c>
      <c r="F27" s="25">
        <v>145150</v>
      </c>
      <c r="G27" s="39">
        <f t="shared" ref="G27" si="5">E27-F27</f>
        <v>887</v>
      </c>
      <c r="H27" s="32">
        <v>1</v>
      </c>
      <c r="I27" s="33">
        <f>H27*G27</f>
        <v>887</v>
      </c>
      <c r="J27" s="32"/>
      <c r="K27" s="32"/>
      <c r="L27" s="67"/>
    </row>
    <row r="28" spans="1:13" x14ac:dyDescent="0.25">
      <c r="B28" s="44" t="s">
        <v>49</v>
      </c>
      <c r="C28" s="45"/>
      <c r="D28" s="46"/>
      <c r="E28" s="47"/>
      <c r="F28" s="47"/>
      <c r="G28" s="45"/>
      <c r="H28" s="45"/>
      <c r="I28" s="72">
        <f>SUM(I15:I27)</f>
        <v>7177</v>
      </c>
      <c r="J28" s="45">
        <f>J6*J7</f>
        <v>0</v>
      </c>
      <c r="K28" s="73">
        <f>J28+I28</f>
        <v>7177</v>
      </c>
      <c r="L28" s="74"/>
      <c r="M28" s="75"/>
    </row>
    <row r="29" spans="1:13" x14ac:dyDescent="0.25">
      <c r="A29" s="48" t="s">
        <v>50</v>
      </c>
      <c r="B29" s="49" t="s">
        <v>48</v>
      </c>
      <c r="C29" s="49" t="s">
        <v>46</v>
      </c>
      <c r="D29" s="50"/>
      <c r="E29" s="51"/>
      <c r="F29" s="51"/>
      <c r="G29" s="49"/>
      <c r="H29" s="49"/>
      <c r="I29" s="76"/>
      <c r="J29" s="49">
        <f>G5</f>
        <v>5625.461765616421</v>
      </c>
      <c r="K29" s="77">
        <f>F5</f>
        <v>8302.8378037801704</v>
      </c>
      <c r="L29" s="78">
        <f>(K29*B2)+J29</f>
        <v>101434.26516183365</v>
      </c>
      <c r="M29" s="79"/>
    </row>
    <row r="31" spans="1:13" x14ac:dyDescent="0.25">
      <c r="B31" s="109" t="s">
        <v>51</v>
      </c>
      <c r="C31" s="109"/>
      <c r="D31" s="24"/>
    </row>
    <row r="32" spans="1:13" x14ac:dyDescent="0.25">
      <c r="B32" s="114" t="s">
        <v>20</v>
      </c>
      <c r="C32" s="114" t="s">
        <v>21</v>
      </c>
      <c r="D32" s="116" t="s">
        <v>22</v>
      </c>
      <c r="E32" s="111" t="s">
        <v>23</v>
      </c>
      <c r="F32" s="112"/>
      <c r="G32" s="114" t="s">
        <v>24</v>
      </c>
      <c r="H32" s="116" t="s">
        <v>25</v>
      </c>
      <c r="I32" s="24"/>
    </row>
    <row r="33" spans="2:13" ht="45" x14ac:dyDescent="0.25">
      <c r="B33" s="113"/>
      <c r="C33" s="113"/>
      <c r="D33" s="117"/>
      <c r="E33" s="29" t="s">
        <v>60</v>
      </c>
      <c r="F33" s="29" t="s">
        <v>61</v>
      </c>
      <c r="G33" s="113"/>
      <c r="H33" s="117"/>
      <c r="I33" s="28" t="s">
        <v>52</v>
      </c>
      <c r="J33" s="65" t="s">
        <v>62</v>
      </c>
      <c r="K33" s="66"/>
      <c r="L33" s="67" t="s">
        <v>54</v>
      </c>
      <c r="M33" s="68"/>
    </row>
    <row r="34" spans="2:13" x14ac:dyDescent="0.25">
      <c r="B34" s="25" t="s">
        <v>55</v>
      </c>
      <c r="C34" s="32"/>
      <c r="D34" s="35">
        <v>821430</v>
      </c>
      <c r="E34" s="25">
        <v>394.29</v>
      </c>
      <c r="F34" s="25">
        <v>212.15</v>
      </c>
      <c r="G34" s="32">
        <f>E34-F34</f>
        <v>182.14000000000001</v>
      </c>
      <c r="H34" s="33">
        <v>80</v>
      </c>
      <c r="I34" s="33">
        <f>H34*G34</f>
        <v>14571.2</v>
      </c>
      <c r="J34" s="32">
        <f>F4</f>
        <v>15817.162196219831</v>
      </c>
      <c r="K34" s="32"/>
      <c r="L34" s="67">
        <f>J34*B2</f>
        <v>182518.72660378279</v>
      </c>
      <c r="M34" s="32"/>
    </row>
    <row r="35" spans="2:13" x14ac:dyDescent="0.25">
      <c r="B35" s="52" t="s">
        <v>48</v>
      </c>
      <c r="C35" s="52" t="s">
        <v>46</v>
      </c>
      <c r="D35" s="53"/>
      <c r="E35" s="54"/>
      <c r="F35" s="54"/>
      <c r="G35" s="52"/>
      <c r="H35" s="52"/>
      <c r="I35" s="52"/>
      <c r="J35" s="52"/>
      <c r="K35" s="52"/>
      <c r="L35" s="80">
        <f>G4</f>
        <v>10716.67823438358</v>
      </c>
      <c r="M35" s="81"/>
    </row>
    <row r="36" spans="2:13" x14ac:dyDescent="0.25">
      <c r="B36" s="55" t="s">
        <v>49</v>
      </c>
      <c r="C36" s="56"/>
      <c r="D36" s="57"/>
      <c r="E36" s="58"/>
      <c r="F36" s="58"/>
      <c r="G36" s="56"/>
      <c r="H36" s="56"/>
      <c r="I36" s="82">
        <f>SUM(I34:I35)</f>
        <v>14571.2</v>
      </c>
      <c r="J36" s="56">
        <f>SUM(J34:J35)-532.32</f>
        <v>15284.842196219832</v>
      </c>
      <c r="K36" s="83">
        <f>SUM(K34:K35)</f>
        <v>0</v>
      </c>
      <c r="L36" s="84"/>
      <c r="M36" s="85"/>
    </row>
    <row r="37" spans="2:13" x14ac:dyDescent="0.25">
      <c r="B37" s="48" t="s">
        <v>50</v>
      </c>
      <c r="C37" s="59"/>
      <c r="D37" s="60"/>
      <c r="E37" s="61"/>
      <c r="F37" s="61"/>
      <c r="G37" s="59"/>
      <c r="H37" s="59"/>
      <c r="I37" s="59"/>
      <c r="J37" s="59"/>
      <c r="K37" s="59"/>
      <c r="L37" s="86">
        <f>SUM(L34:L35)</f>
        <v>193235.40483816637</v>
      </c>
      <c r="M37" s="2"/>
    </row>
    <row r="38" spans="2:13" x14ac:dyDescent="0.25">
      <c r="L38" s="2">
        <f>L37-L39-L40</f>
        <v>161472.90483816637</v>
      </c>
      <c r="M38" t="s">
        <v>63</v>
      </c>
    </row>
    <row r="39" spans="2:13" x14ac:dyDescent="0.25">
      <c r="I39" s="87"/>
      <c r="K39" s="64"/>
      <c r="L39" s="88">
        <v>20907.16</v>
      </c>
      <c r="M39" t="s">
        <v>64</v>
      </c>
    </row>
    <row r="40" spans="2:13" x14ac:dyDescent="0.25">
      <c r="L40" s="88">
        <v>10855.34</v>
      </c>
      <c r="M40" t="s">
        <v>65</v>
      </c>
    </row>
  </sheetData>
  <mergeCells count="14">
    <mergeCell ref="B31:C31"/>
    <mergeCell ref="E32:F32"/>
    <mergeCell ref="B11:B12"/>
    <mergeCell ref="B32:B33"/>
    <mergeCell ref="C11:C12"/>
    <mergeCell ref="C32:C33"/>
    <mergeCell ref="D11:D12"/>
    <mergeCell ref="D32:D33"/>
    <mergeCell ref="G11:G12"/>
    <mergeCell ref="G32:G33"/>
    <mergeCell ref="H11:H12"/>
    <mergeCell ref="H32:H33"/>
    <mergeCell ref="D9:E9"/>
    <mergeCell ref="E11:F11"/>
  </mergeCells>
  <pageMargins left="0.7" right="0.7" top="0.75" bottom="0.75" header="0.3" footer="0.3"/>
  <pageSetup paperSize="9" orientation="portrait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16" workbookViewId="0">
      <selection activeCell="L7" sqref="L7"/>
    </sheetView>
  </sheetViews>
  <sheetFormatPr defaultColWidth="9" defaultRowHeight="15" x14ac:dyDescent="0.25"/>
  <cols>
    <col min="1" max="1" width="28.5703125" customWidth="1"/>
    <col min="2" max="2" width="18.140625" customWidth="1"/>
    <col min="3" max="4" width="15.85546875" customWidth="1"/>
    <col min="5" max="5" width="15.140625" customWidth="1"/>
    <col min="6" max="6" width="16" customWidth="1"/>
    <col min="7" max="7" width="14.7109375" customWidth="1"/>
    <col min="8" max="8" width="21.42578125" customWidth="1"/>
    <col min="9" max="9" width="14.85546875" customWidth="1"/>
    <col min="10" max="10" width="16" customWidth="1"/>
    <col min="11" max="11" width="12.140625" customWidth="1"/>
    <col min="12" max="12" width="12.28515625" style="2" customWidth="1"/>
    <col min="13" max="13" width="15" customWidth="1"/>
    <col min="16" max="17" width="11.42578125" customWidth="1"/>
    <col min="21" max="21" width="7.5703125" customWidth="1"/>
    <col min="24" max="24" width="13.28515625" customWidth="1"/>
    <col min="26" max="26" width="25.85546875" customWidth="1"/>
    <col min="28" max="29" width="10.85546875" customWidth="1"/>
    <col min="30" max="30" width="12.5703125" customWidth="1"/>
  </cols>
  <sheetData>
    <row r="1" spans="1:13" ht="46.5" customHeight="1" x14ac:dyDescent="0.25">
      <c r="A1" s="3" t="s">
        <v>0</v>
      </c>
      <c r="B1" s="101">
        <v>3253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/>
      <c r="K1" s="5" t="s">
        <v>7</v>
      </c>
    </row>
    <row r="2" spans="1:13" x14ac:dyDescent="0.25">
      <c r="A2" s="6" t="s">
        <v>8</v>
      </c>
      <c r="B2" s="7">
        <f>B4/B3</f>
        <v>13.41919198055893</v>
      </c>
      <c r="C2" s="8"/>
      <c r="D2" s="8"/>
      <c r="E2" s="8"/>
      <c r="F2" s="8"/>
      <c r="G2" s="8"/>
      <c r="H2" s="8"/>
      <c r="I2" s="8"/>
      <c r="J2" s="8" t="s">
        <v>56</v>
      </c>
      <c r="K2" s="8">
        <f>Жовтень!K5</f>
        <v>62059.199999999997</v>
      </c>
    </row>
    <row r="3" spans="1:13" x14ac:dyDescent="0.25">
      <c r="A3" s="9" t="s">
        <v>10</v>
      </c>
      <c r="B3" s="10">
        <v>16460</v>
      </c>
      <c r="C3" s="102">
        <v>16460</v>
      </c>
      <c r="D3" s="8">
        <f>I14+I13</f>
        <v>15314.000000000306</v>
      </c>
      <c r="E3" s="8"/>
      <c r="F3" s="8"/>
      <c r="G3" s="8"/>
      <c r="H3" s="8"/>
      <c r="I3" s="8"/>
      <c r="J3" s="8" t="s">
        <v>11</v>
      </c>
      <c r="K3" s="8">
        <f>I34*3</f>
        <v>23253.599999999999</v>
      </c>
    </row>
    <row r="4" spans="1:13" x14ac:dyDescent="0.25">
      <c r="A4" s="6" t="s">
        <v>12</v>
      </c>
      <c r="B4" s="100">
        <v>220879.9</v>
      </c>
      <c r="C4" s="8" t="s">
        <v>13</v>
      </c>
      <c r="D4" s="8">
        <f>I34</f>
        <v>7751.1999999999989</v>
      </c>
      <c r="E4" s="8">
        <f>D4/D3*100</f>
        <v>50.615123416480635</v>
      </c>
      <c r="F4" s="8">
        <f>E4*C3/100</f>
        <v>8331.2493143527136</v>
      </c>
      <c r="G4" s="8">
        <f>B5*E4/100</f>
        <v>6649.3897474205269</v>
      </c>
      <c r="H4" s="13">
        <f>F4*B2+G4</f>
        <v>118448.02373461955</v>
      </c>
      <c r="I4" s="62"/>
      <c r="J4" s="8"/>
      <c r="K4" s="8">
        <f>K2-K3</f>
        <v>38805.599999999999</v>
      </c>
    </row>
    <row r="5" spans="1:13" ht="15.75" thickBot="1" x14ac:dyDescent="0.3">
      <c r="A5" s="14" t="s">
        <v>14</v>
      </c>
      <c r="B5" s="15">
        <f>11093.81+2043.35</f>
        <v>13137.16</v>
      </c>
      <c r="C5" s="8" t="s">
        <v>15</v>
      </c>
      <c r="D5" s="8">
        <f>D3-D4</f>
        <v>7562.8000000003067</v>
      </c>
      <c r="E5" s="8">
        <f>D5/D3*100</f>
        <v>49.384876583519365</v>
      </c>
      <c r="F5" s="8">
        <f>E5*C3/100</f>
        <v>8128.7506856472874</v>
      </c>
      <c r="G5" s="8">
        <f>B5*E5/100</f>
        <v>6487.770252579473</v>
      </c>
      <c r="H5" s="13">
        <f>F5*B2+G5</f>
        <v>115569.03626538045</v>
      </c>
      <c r="I5" s="8"/>
      <c r="J5" s="8" t="s">
        <v>16</v>
      </c>
      <c r="K5" s="63">
        <f>K4+L5</f>
        <v>79005.600000000006</v>
      </c>
      <c r="L5" s="2">
        <v>40200</v>
      </c>
      <c r="M5" t="s">
        <v>57</v>
      </c>
    </row>
    <row r="6" spans="1:13" ht="15.75" thickBot="1" x14ac:dyDescent="0.3">
      <c r="A6" s="16" t="s">
        <v>17</v>
      </c>
      <c r="B6" s="99">
        <f>SUM(B4:B5)</f>
        <v>234017.06</v>
      </c>
    </row>
    <row r="7" spans="1:13" ht="15.75" thickBot="1" x14ac:dyDescent="0.3">
      <c r="A7" s="18" t="s">
        <v>18</v>
      </c>
      <c r="B7" s="99">
        <f>SUM(B5:B6)</f>
        <v>247154.22</v>
      </c>
      <c r="H7" s="20">
        <f>SUM(H4:H6)</f>
        <v>234017.06</v>
      </c>
      <c r="K7" s="64"/>
    </row>
    <row r="8" spans="1:13" ht="15.75" thickBot="1" x14ac:dyDescent="0.3">
      <c r="A8" s="18" t="s">
        <v>19</v>
      </c>
      <c r="B8" s="21"/>
    </row>
    <row r="9" spans="1:13" x14ac:dyDescent="0.25">
      <c r="A9" s="22"/>
      <c r="B9" s="23"/>
      <c r="C9" s="24"/>
      <c r="D9" s="109"/>
      <c r="E9" s="109"/>
      <c r="F9" s="24"/>
    </row>
    <row r="10" spans="1:13" x14ac:dyDescent="0.25">
      <c r="A10" s="25"/>
      <c r="B10" s="26"/>
    </row>
    <row r="11" spans="1:13" ht="15" customHeight="1" x14ac:dyDescent="0.25">
      <c r="B11" s="113" t="s">
        <v>20</v>
      </c>
      <c r="C11" s="110" t="s">
        <v>21</v>
      </c>
      <c r="D11" s="115" t="s">
        <v>22</v>
      </c>
      <c r="E11" s="110" t="s">
        <v>23</v>
      </c>
      <c r="F11" s="110"/>
      <c r="G11" s="110" t="s">
        <v>24</v>
      </c>
      <c r="H11" s="115" t="s">
        <v>25</v>
      </c>
      <c r="I11" s="24"/>
    </row>
    <row r="12" spans="1:13" ht="47.25" customHeight="1" x14ac:dyDescent="0.25">
      <c r="B12" s="110"/>
      <c r="C12" s="110"/>
      <c r="D12" s="115"/>
      <c r="E12" s="94" t="s">
        <v>66</v>
      </c>
      <c r="F12" s="29" t="s">
        <v>60</v>
      </c>
      <c r="G12" s="110"/>
      <c r="H12" s="115"/>
      <c r="I12" s="28" t="s">
        <v>28</v>
      </c>
      <c r="J12" s="65" t="s">
        <v>29</v>
      </c>
      <c r="K12" s="66" t="s">
        <v>30</v>
      </c>
      <c r="L12" s="67"/>
      <c r="M12" s="68"/>
    </row>
    <row r="13" spans="1:13" ht="47.25" customHeight="1" x14ac:dyDescent="0.25">
      <c r="B13" s="27" t="s">
        <v>31</v>
      </c>
      <c r="C13" s="27"/>
      <c r="D13" s="28"/>
      <c r="E13" s="98">
        <v>25537.95</v>
      </c>
      <c r="F13" s="31">
        <v>25536.84</v>
      </c>
      <c r="G13" s="32">
        <f>E13-F13</f>
        <v>1.1100000000005821</v>
      </c>
      <c r="H13" s="33">
        <v>200</v>
      </c>
      <c r="I13" s="69">
        <v>0</v>
      </c>
      <c r="J13" s="65"/>
      <c r="K13" s="66"/>
      <c r="L13" s="67"/>
      <c r="M13" s="68"/>
    </row>
    <row r="14" spans="1:13" ht="47.25" customHeight="1" x14ac:dyDescent="0.25">
      <c r="B14" s="27" t="s">
        <v>32</v>
      </c>
      <c r="C14" s="27"/>
      <c r="D14" s="28"/>
      <c r="E14" s="98">
        <v>10193.040000000001</v>
      </c>
      <c r="F14" s="31">
        <v>10116.469999999999</v>
      </c>
      <c r="G14" s="32">
        <f>E14-F14</f>
        <v>76.570000000001528</v>
      </c>
      <c r="H14" s="33">
        <v>200</v>
      </c>
      <c r="I14" s="33">
        <f t="shared" ref="I14:I25" si="0">H14*G14</f>
        <v>15314.000000000306</v>
      </c>
      <c r="J14" s="65"/>
      <c r="K14" s="66"/>
      <c r="L14" s="67"/>
      <c r="M14" s="68"/>
    </row>
    <row r="15" spans="1:13" x14ac:dyDescent="0.25">
      <c r="A15" s="34" t="s">
        <v>33</v>
      </c>
      <c r="B15" s="25" t="s">
        <v>34</v>
      </c>
      <c r="C15" s="32">
        <v>851</v>
      </c>
      <c r="D15" s="35">
        <v>821430</v>
      </c>
      <c r="E15" s="95">
        <v>12077</v>
      </c>
      <c r="F15" s="37">
        <v>12077</v>
      </c>
      <c r="G15" s="32">
        <f>E15-F15</f>
        <v>0</v>
      </c>
      <c r="H15" s="33">
        <v>30</v>
      </c>
      <c r="I15" s="33">
        <f t="shared" si="0"/>
        <v>0</v>
      </c>
      <c r="J15" s="32">
        <f>(I15*J7)-I15</f>
        <v>0</v>
      </c>
      <c r="K15" s="32">
        <f>J15+I15</f>
        <v>0</v>
      </c>
      <c r="L15" s="67">
        <f>K15*B2</f>
        <v>0</v>
      </c>
      <c r="M15" s="32"/>
    </row>
    <row r="16" spans="1:13" x14ac:dyDescent="0.25">
      <c r="A16" s="34" t="s">
        <v>35</v>
      </c>
      <c r="B16" s="25" t="s">
        <v>36</v>
      </c>
      <c r="C16" s="32">
        <v>839</v>
      </c>
      <c r="D16" s="35">
        <v>821436</v>
      </c>
      <c r="E16" s="95">
        <v>14163</v>
      </c>
      <c r="F16" s="37">
        <v>14163</v>
      </c>
      <c r="G16" s="32">
        <f t="shared" ref="G16:G25" si="1">E16-F16</f>
        <v>0</v>
      </c>
      <c r="H16" s="33">
        <v>30</v>
      </c>
      <c r="I16" s="33">
        <f t="shared" si="0"/>
        <v>0</v>
      </c>
      <c r="J16" s="32">
        <f>(I16*J7)-I16</f>
        <v>0</v>
      </c>
      <c r="K16" s="32">
        <f t="shared" ref="K16:K23" si="2">J16+I16</f>
        <v>0</v>
      </c>
      <c r="L16" s="67">
        <f>K16*B2</f>
        <v>0</v>
      </c>
      <c r="M16" s="32"/>
    </row>
    <row r="17" spans="1:13" x14ac:dyDescent="0.25">
      <c r="A17" s="34"/>
      <c r="B17" s="25" t="s">
        <v>37</v>
      </c>
      <c r="C17" s="32">
        <v>428</v>
      </c>
      <c r="D17" s="35">
        <v>11829942</v>
      </c>
      <c r="E17" s="95">
        <v>2213</v>
      </c>
      <c r="F17" s="37">
        <v>2213</v>
      </c>
      <c r="G17" s="32">
        <f t="shared" si="1"/>
        <v>0</v>
      </c>
      <c r="H17" s="33">
        <v>40</v>
      </c>
      <c r="I17" s="33">
        <f t="shared" si="0"/>
        <v>0</v>
      </c>
      <c r="J17" s="32">
        <f>(I17*J7)-I17</f>
        <v>0</v>
      </c>
      <c r="K17" s="32">
        <f t="shared" si="2"/>
        <v>0</v>
      </c>
      <c r="L17" s="67">
        <f>K17*B2</f>
        <v>0</v>
      </c>
      <c r="M17" s="32"/>
    </row>
    <row r="18" spans="1:13" x14ac:dyDescent="0.25">
      <c r="A18" s="34"/>
      <c r="B18" s="25" t="s">
        <v>38</v>
      </c>
      <c r="C18" s="32">
        <v>415</v>
      </c>
      <c r="D18" s="35">
        <v>820614</v>
      </c>
      <c r="E18" s="95">
        <v>14226</v>
      </c>
      <c r="F18" s="37">
        <v>14226</v>
      </c>
      <c r="G18" s="32">
        <f t="shared" si="1"/>
        <v>0</v>
      </c>
      <c r="H18" s="33">
        <v>40</v>
      </c>
      <c r="I18" s="33">
        <f t="shared" si="0"/>
        <v>0</v>
      </c>
      <c r="J18" s="32">
        <f>(I18*J7)-I18</f>
        <v>0</v>
      </c>
      <c r="K18" s="32">
        <f t="shared" si="2"/>
        <v>0</v>
      </c>
      <c r="L18" s="67">
        <f>K18*B2</f>
        <v>0</v>
      </c>
      <c r="M18" s="32"/>
    </row>
    <row r="19" spans="1:13" x14ac:dyDescent="0.25">
      <c r="A19" s="34"/>
      <c r="B19" s="25" t="s">
        <v>39</v>
      </c>
      <c r="C19" s="32">
        <v>428</v>
      </c>
      <c r="D19" s="35">
        <v>820573</v>
      </c>
      <c r="E19" s="95">
        <v>10172</v>
      </c>
      <c r="F19" s="37">
        <v>10172</v>
      </c>
      <c r="G19" s="32">
        <f t="shared" si="1"/>
        <v>0</v>
      </c>
      <c r="H19" s="33">
        <v>40</v>
      </c>
      <c r="I19" s="33">
        <f t="shared" si="0"/>
        <v>0</v>
      </c>
      <c r="J19" s="32">
        <f>(I19*J7)-I19</f>
        <v>0</v>
      </c>
      <c r="K19" s="32">
        <f t="shared" si="2"/>
        <v>0</v>
      </c>
      <c r="L19" s="67">
        <f>K19*B3</f>
        <v>0</v>
      </c>
      <c r="M19" s="32"/>
    </row>
    <row r="20" spans="1:13" x14ac:dyDescent="0.25">
      <c r="A20" s="34"/>
      <c r="B20" s="25" t="s">
        <v>40</v>
      </c>
      <c r="C20" s="32">
        <v>292</v>
      </c>
      <c r="D20" s="35">
        <v>10808904</v>
      </c>
      <c r="E20" s="95">
        <v>11686</v>
      </c>
      <c r="F20" s="37">
        <v>11686</v>
      </c>
      <c r="G20" s="32">
        <f t="shared" si="1"/>
        <v>0</v>
      </c>
      <c r="H20" s="33">
        <v>1</v>
      </c>
      <c r="I20" s="33">
        <f t="shared" si="0"/>
        <v>0</v>
      </c>
      <c r="J20" s="32">
        <f t="shared" ref="J20:J25" si="3">(I20*J8)-I20</f>
        <v>0</v>
      </c>
      <c r="K20" s="32">
        <f t="shared" si="2"/>
        <v>0</v>
      </c>
      <c r="L20" s="67">
        <f>K20*B4</f>
        <v>0</v>
      </c>
      <c r="M20" s="32"/>
    </row>
    <row r="21" spans="1:13" x14ac:dyDescent="0.25">
      <c r="A21" s="34" t="s">
        <v>33</v>
      </c>
      <c r="B21" s="32" t="s">
        <v>41</v>
      </c>
      <c r="C21" s="32">
        <v>573</v>
      </c>
      <c r="D21" s="35">
        <v>945448</v>
      </c>
      <c r="E21" s="97">
        <v>195941</v>
      </c>
      <c r="F21" s="37">
        <v>193524</v>
      </c>
      <c r="G21" s="32">
        <f t="shared" si="1"/>
        <v>2417</v>
      </c>
      <c r="H21" s="33">
        <v>1</v>
      </c>
      <c r="I21" s="33">
        <f t="shared" si="0"/>
        <v>2417</v>
      </c>
      <c r="J21" s="32">
        <v>0</v>
      </c>
      <c r="K21" s="32">
        <f t="shared" si="2"/>
        <v>2417</v>
      </c>
      <c r="L21" s="67">
        <f>K21*B2</f>
        <v>32434.187017010932</v>
      </c>
      <c r="M21" s="32"/>
    </row>
    <row r="22" spans="1:13" x14ac:dyDescent="0.25">
      <c r="A22" s="34" t="s">
        <v>42</v>
      </c>
      <c r="B22" s="32" t="s">
        <v>43</v>
      </c>
      <c r="C22" s="32">
        <v>573</v>
      </c>
      <c r="D22" s="35">
        <v>945448</v>
      </c>
      <c r="E22" s="97">
        <v>631613</v>
      </c>
      <c r="F22" s="37">
        <v>627708</v>
      </c>
      <c r="G22" s="32">
        <f t="shared" si="1"/>
        <v>3905</v>
      </c>
      <c r="H22" s="33">
        <v>1</v>
      </c>
      <c r="I22" s="33">
        <f t="shared" si="0"/>
        <v>3905</v>
      </c>
      <c r="J22" s="32">
        <v>0</v>
      </c>
      <c r="K22" s="32">
        <f t="shared" si="2"/>
        <v>3905</v>
      </c>
      <c r="L22" s="67">
        <f>(K22*B2)</f>
        <v>52401.94468408262</v>
      </c>
      <c r="M22" s="32"/>
    </row>
    <row r="23" spans="1:13" x14ac:dyDescent="0.25">
      <c r="A23" s="34"/>
      <c r="B23" s="32" t="s">
        <v>44</v>
      </c>
      <c r="C23" s="32"/>
      <c r="D23" s="35">
        <v>906068</v>
      </c>
      <c r="E23" s="97">
        <v>405521</v>
      </c>
      <c r="F23" s="37">
        <v>403909</v>
      </c>
      <c r="G23" s="32">
        <f t="shared" si="1"/>
        <v>1612</v>
      </c>
      <c r="H23" s="33">
        <v>1</v>
      </c>
      <c r="I23" s="33">
        <f t="shared" si="0"/>
        <v>1612</v>
      </c>
      <c r="J23" s="32">
        <v>0</v>
      </c>
      <c r="K23" s="32">
        <f t="shared" si="2"/>
        <v>1612</v>
      </c>
      <c r="L23" s="67">
        <f>K23*B2</f>
        <v>21631.737472660996</v>
      </c>
      <c r="M23" s="32"/>
    </row>
    <row r="24" spans="1:13" s="1" customFormat="1" x14ac:dyDescent="0.25">
      <c r="A24" s="38"/>
      <c r="B24" s="39" t="s">
        <v>45</v>
      </c>
      <c r="C24" s="39" t="s">
        <v>46</v>
      </c>
      <c r="D24" s="40">
        <v>8638117</v>
      </c>
      <c r="E24" s="96">
        <v>14708</v>
      </c>
      <c r="F24" s="37">
        <v>14708</v>
      </c>
      <c r="G24" s="39">
        <f t="shared" si="1"/>
        <v>0</v>
      </c>
      <c r="H24" s="42">
        <v>160</v>
      </c>
      <c r="I24" s="42">
        <f t="shared" si="0"/>
        <v>0</v>
      </c>
      <c r="J24" s="70">
        <v>0</v>
      </c>
      <c r="K24" s="39">
        <f>(J24+I24)*0.647</f>
        <v>0</v>
      </c>
      <c r="L24" s="71">
        <f>(K24*B2)</f>
        <v>0</v>
      </c>
      <c r="M24" s="71"/>
    </row>
    <row r="25" spans="1:13" s="1" customFormat="1" x14ac:dyDescent="0.25">
      <c r="A25" s="38"/>
      <c r="B25" s="39" t="s">
        <v>47</v>
      </c>
      <c r="C25" s="39" t="s">
        <v>46</v>
      </c>
      <c r="D25" s="40">
        <v>915199</v>
      </c>
      <c r="E25" s="96">
        <v>176409</v>
      </c>
      <c r="F25" s="41">
        <v>176409</v>
      </c>
      <c r="G25" s="39">
        <f t="shared" si="1"/>
        <v>0</v>
      </c>
      <c r="H25" s="42">
        <v>1</v>
      </c>
      <c r="I25" s="42">
        <f t="shared" si="0"/>
        <v>0</v>
      </c>
      <c r="J25" s="70">
        <f t="shared" si="3"/>
        <v>0</v>
      </c>
      <c r="K25" s="39">
        <f>(J25+I25)*0.647</f>
        <v>0</v>
      </c>
      <c r="L25" s="71">
        <f>(K25*B2)</f>
        <v>0</v>
      </c>
      <c r="M25" s="71"/>
    </row>
    <row r="26" spans="1:13" x14ac:dyDescent="0.25">
      <c r="B26" s="32" t="s">
        <v>48</v>
      </c>
      <c r="C26" s="32" t="s">
        <v>46</v>
      </c>
      <c r="D26" s="43"/>
      <c r="E26" s="93"/>
      <c r="F26" s="25"/>
      <c r="G26" s="39"/>
      <c r="H26" s="32"/>
      <c r="I26" s="32"/>
      <c r="J26" s="32"/>
      <c r="K26" s="32"/>
      <c r="L26" s="67">
        <f>B5*J7</f>
        <v>0</v>
      </c>
    </row>
    <row r="27" spans="1:13" ht="15.75" thickBot="1" x14ac:dyDescent="0.3">
      <c r="B27" s="32" t="s">
        <v>59</v>
      </c>
      <c r="C27" s="32"/>
      <c r="D27" s="43"/>
      <c r="E27" s="93">
        <v>147258</v>
      </c>
      <c r="F27" s="25">
        <v>146037</v>
      </c>
      <c r="G27" s="39">
        <f t="shared" ref="G27" si="4">E27-F27</f>
        <v>1221</v>
      </c>
      <c r="H27" s="32">
        <v>1</v>
      </c>
      <c r="I27" s="33">
        <f>H27*G27</f>
        <v>1221</v>
      </c>
      <c r="J27" s="32"/>
      <c r="K27" s="32"/>
      <c r="L27" s="67"/>
    </row>
    <row r="28" spans="1:13" ht="15.75" thickBot="1" x14ac:dyDescent="0.3">
      <c r="B28" s="44" t="s">
        <v>49</v>
      </c>
      <c r="C28" s="45"/>
      <c r="D28" s="46"/>
      <c r="E28" s="47"/>
      <c r="F28" s="47"/>
      <c r="G28" s="45"/>
      <c r="H28" s="45"/>
      <c r="I28" s="72">
        <f>SUM(I15:I27)</f>
        <v>9155</v>
      </c>
      <c r="J28" s="45">
        <f>J6*J7</f>
        <v>0</v>
      </c>
      <c r="K28" s="73">
        <f>J28+I28</f>
        <v>9155</v>
      </c>
      <c r="L28" s="74"/>
      <c r="M28" s="75"/>
    </row>
    <row r="29" spans="1:13" ht="15.75" thickBot="1" x14ac:dyDescent="0.3">
      <c r="A29" s="48" t="s">
        <v>50</v>
      </c>
      <c r="B29" s="49" t="s">
        <v>48</v>
      </c>
      <c r="C29" s="49" t="s">
        <v>46</v>
      </c>
      <c r="D29" s="50"/>
      <c r="E29" s="51"/>
      <c r="F29" s="51"/>
      <c r="G29" s="49"/>
      <c r="H29" s="49"/>
      <c r="I29" s="76"/>
      <c r="J29" s="49">
        <f>G5</f>
        <v>6487.770252579473</v>
      </c>
      <c r="K29" s="77">
        <f>F5</f>
        <v>8128.7506856472874</v>
      </c>
      <c r="L29" s="78">
        <f>(K29*B2)+J29</f>
        <v>115569.03626538045</v>
      </c>
      <c r="M29" s="79"/>
    </row>
    <row r="31" spans="1:13" x14ac:dyDescent="0.25">
      <c r="B31" s="109" t="s">
        <v>51</v>
      </c>
      <c r="C31" s="109"/>
      <c r="D31" s="24"/>
    </row>
    <row r="32" spans="1:13" x14ac:dyDescent="0.25">
      <c r="B32" s="114" t="s">
        <v>20</v>
      </c>
      <c r="C32" s="114" t="s">
        <v>21</v>
      </c>
      <c r="D32" s="116" t="s">
        <v>22</v>
      </c>
      <c r="E32" s="111" t="s">
        <v>23</v>
      </c>
      <c r="F32" s="112"/>
      <c r="G32" s="114" t="s">
        <v>24</v>
      </c>
      <c r="H32" s="116" t="s">
        <v>25</v>
      </c>
      <c r="I32" s="24"/>
    </row>
    <row r="33" spans="2:13" ht="45" x14ac:dyDescent="0.25">
      <c r="B33" s="113"/>
      <c r="C33" s="113"/>
      <c r="D33" s="117"/>
      <c r="E33" s="29" t="s">
        <v>66</v>
      </c>
      <c r="F33" s="29" t="s">
        <v>60</v>
      </c>
      <c r="G33" s="113"/>
      <c r="H33" s="117"/>
      <c r="I33" s="28" t="s">
        <v>52</v>
      </c>
      <c r="J33" s="65" t="s">
        <v>62</v>
      </c>
      <c r="K33" s="66"/>
      <c r="L33" s="67" t="s">
        <v>54</v>
      </c>
      <c r="M33" s="68"/>
    </row>
    <row r="34" spans="2:13" x14ac:dyDescent="0.25">
      <c r="B34" s="25" t="s">
        <v>55</v>
      </c>
      <c r="C34" s="32"/>
      <c r="D34" s="35">
        <v>821430</v>
      </c>
      <c r="E34" s="36">
        <v>491.18</v>
      </c>
      <c r="F34" s="25">
        <v>394.29</v>
      </c>
      <c r="G34" s="32">
        <f>E34-F34</f>
        <v>96.889999999999986</v>
      </c>
      <c r="H34" s="33">
        <v>80</v>
      </c>
      <c r="I34" s="33">
        <f>H34*G34</f>
        <v>7751.1999999999989</v>
      </c>
      <c r="J34" s="32">
        <f>F4</f>
        <v>8331.2493143527136</v>
      </c>
      <c r="K34" s="32"/>
      <c r="L34" s="67">
        <f>J34*B2</f>
        <v>111798.63398719902</v>
      </c>
      <c r="M34" s="32"/>
    </row>
    <row r="35" spans="2:13" ht="15.75" thickBot="1" x14ac:dyDescent="0.3">
      <c r="B35" s="52" t="s">
        <v>48</v>
      </c>
      <c r="C35" s="52" t="s">
        <v>46</v>
      </c>
      <c r="D35" s="53"/>
      <c r="E35" s="54"/>
      <c r="F35" s="54"/>
      <c r="G35" s="52"/>
      <c r="H35" s="52"/>
      <c r="I35" s="52"/>
      <c r="J35" s="52"/>
      <c r="K35" s="52"/>
      <c r="L35" s="80">
        <f>G4</f>
        <v>6649.3897474205269</v>
      </c>
      <c r="M35" s="81"/>
    </row>
    <row r="36" spans="2:13" ht="15.75" thickBot="1" x14ac:dyDescent="0.3">
      <c r="B36" s="55" t="s">
        <v>49</v>
      </c>
      <c r="C36" s="56"/>
      <c r="D36" s="57"/>
      <c r="E36" s="58"/>
      <c r="F36" s="58"/>
      <c r="G36" s="56"/>
      <c r="H36" s="56"/>
      <c r="I36" s="82">
        <f>SUM(I34:I35)</f>
        <v>7751.1999999999989</v>
      </c>
      <c r="J36" s="56">
        <f>SUM(J34:J35)-532.32</f>
        <v>7798.9293143527138</v>
      </c>
      <c r="K36" s="83">
        <f>SUM(K34:K35)</f>
        <v>0</v>
      </c>
      <c r="L36" s="84"/>
      <c r="M36" s="85"/>
    </row>
    <row r="37" spans="2:13" ht="15.75" thickBot="1" x14ac:dyDescent="0.3">
      <c r="B37" s="48" t="s">
        <v>50</v>
      </c>
      <c r="C37" s="59"/>
      <c r="D37" s="60"/>
      <c r="E37" s="61"/>
      <c r="F37" s="61"/>
      <c r="G37" s="59"/>
      <c r="H37" s="59"/>
      <c r="I37" s="59"/>
      <c r="J37" s="59"/>
      <c r="K37" s="59"/>
      <c r="L37" s="86">
        <f>SUM(L34:L35)</f>
        <v>118448.02373461955</v>
      </c>
      <c r="M37" t="s">
        <v>63</v>
      </c>
    </row>
    <row r="39" spans="2:13" x14ac:dyDescent="0.25">
      <c r="I39" s="87"/>
      <c r="K39" s="64"/>
      <c r="L39" s="88"/>
    </row>
    <row r="40" spans="2:13" x14ac:dyDescent="0.25">
      <c r="L40" s="88"/>
    </row>
  </sheetData>
  <mergeCells count="14">
    <mergeCell ref="D9:E9"/>
    <mergeCell ref="B11:B12"/>
    <mergeCell ref="C11:C12"/>
    <mergeCell ref="D11:D12"/>
    <mergeCell ref="E11:F11"/>
    <mergeCell ref="H11:H12"/>
    <mergeCell ref="B31:C31"/>
    <mergeCell ref="B32:B33"/>
    <mergeCell ref="C32:C33"/>
    <mergeCell ref="D32:D33"/>
    <mergeCell ref="E32:F32"/>
    <mergeCell ref="G32:G33"/>
    <mergeCell ref="H32:H33"/>
    <mergeCell ref="G11:G12"/>
  </mergeCells>
  <pageMargins left="0.7" right="0.7" top="0.75" bottom="0.75" header="0.3" footer="0.3"/>
  <pageSetup paperSize="9" orientation="portrait" verticalDpi="3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zoomScale="70" zoomScaleNormal="70" workbookViewId="0">
      <selection activeCell="U12" sqref="T12:U12"/>
    </sheetView>
  </sheetViews>
  <sheetFormatPr defaultColWidth="9" defaultRowHeight="15" x14ac:dyDescent="0.25"/>
  <cols>
    <col min="1" max="1" width="28.5703125" customWidth="1"/>
    <col min="2" max="2" width="18.140625" customWidth="1"/>
    <col min="3" max="4" width="15.85546875" customWidth="1"/>
    <col min="5" max="5" width="15.140625" customWidth="1"/>
    <col min="6" max="6" width="16" customWidth="1"/>
    <col min="7" max="7" width="14.7109375" customWidth="1"/>
    <col min="8" max="8" width="21.42578125" customWidth="1"/>
    <col min="9" max="9" width="14.85546875" customWidth="1"/>
    <col min="10" max="10" width="16" customWidth="1"/>
    <col min="11" max="11" width="12.140625" customWidth="1"/>
    <col min="12" max="12" width="12.28515625" style="2" customWidth="1"/>
    <col min="13" max="13" width="15" customWidth="1"/>
    <col min="16" max="17" width="11.42578125" customWidth="1"/>
    <col min="21" max="21" width="7.5703125" customWidth="1"/>
    <col min="24" max="24" width="13.28515625" customWidth="1"/>
    <col min="26" max="26" width="25.85546875" customWidth="1"/>
    <col min="28" max="29" width="10.85546875" customWidth="1"/>
    <col min="30" max="30" width="12.5703125" customWidth="1"/>
  </cols>
  <sheetData>
    <row r="1" spans="1:13" ht="46.5" customHeight="1" x14ac:dyDescent="0.25">
      <c r="A1" s="3" t="s">
        <v>0</v>
      </c>
      <c r="B1" s="101">
        <v>3253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/>
      <c r="K1" s="5" t="s">
        <v>7</v>
      </c>
    </row>
    <row r="2" spans="1:13" x14ac:dyDescent="0.25">
      <c r="A2" s="6" t="s">
        <v>8</v>
      </c>
      <c r="B2" s="7">
        <f>B4/B3</f>
        <v>15.364236049107141</v>
      </c>
      <c r="C2" s="8"/>
      <c r="D2" s="8"/>
      <c r="E2" s="8"/>
      <c r="F2" s="8"/>
      <c r="G2" s="8"/>
      <c r="H2" s="8"/>
      <c r="I2" s="8"/>
      <c r="J2" s="8" t="s">
        <v>56</v>
      </c>
      <c r="K2" s="8">
        <f>Жовтень!K5</f>
        <v>62059.199999999997</v>
      </c>
    </row>
    <row r="3" spans="1:13" x14ac:dyDescent="0.25">
      <c r="A3" s="9" t="s">
        <v>10</v>
      </c>
      <c r="B3" s="103">
        <v>17920</v>
      </c>
      <c r="C3" s="102">
        <v>17920</v>
      </c>
      <c r="D3" s="8">
        <f>I14+I13</f>
        <v>14873.999999999796</v>
      </c>
      <c r="E3" s="8"/>
      <c r="F3" s="8"/>
      <c r="G3" s="8"/>
      <c r="H3" s="8"/>
      <c r="I3" s="8"/>
      <c r="J3" s="8" t="s">
        <v>11</v>
      </c>
      <c r="K3" s="8">
        <f>I34*3</f>
        <v>25015.199999999993</v>
      </c>
    </row>
    <row r="4" spans="1:13" x14ac:dyDescent="0.25">
      <c r="A4" s="6" t="s">
        <v>12</v>
      </c>
      <c r="B4" s="100">
        <v>275327.11</v>
      </c>
      <c r="C4" s="8" t="s">
        <v>13</v>
      </c>
      <c r="D4" s="8">
        <f>I34</f>
        <v>8338.3999999999978</v>
      </c>
      <c r="E4" s="8">
        <f>D4/D3*100</f>
        <v>56.060239343822182</v>
      </c>
      <c r="F4" s="8">
        <f>E4*C3/100</f>
        <v>10045.994890412934</v>
      </c>
      <c r="G4" s="8">
        <f>B5*E4/100</f>
        <v>7617.9698641926525</v>
      </c>
      <c r="H4" s="13">
        <f>F4*B2+G4</f>
        <v>161967.00670862119</v>
      </c>
      <c r="I4" s="62"/>
      <c r="J4" s="8"/>
      <c r="K4" s="8">
        <f>K2-K3</f>
        <v>37044</v>
      </c>
    </row>
    <row r="5" spans="1:13" ht="15.75" thickBot="1" x14ac:dyDescent="0.3">
      <c r="A5" s="14" t="s">
        <v>14</v>
      </c>
      <c r="B5" s="15">
        <f>11545.55+2043.35</f>
        <v>13588.9</v>
      </c>
      <c r="C5" s="8" t="s">
        <v>15</v>
      </c>
      <c r="D5" s="8">
        <f>D3-D4</f>
        <v>6535.5999999997985</v>
      </c>
      <c r="E5" s="8">
        <f>D5/D3*100</f>
        <v>43.93976065617781</v>
      </c>
      <c r="F5" s="8">
        <f>E5*C3/100</f>
        <v>7874.005109587064</v>
      </c>
      <c r="G5" s="8">
        <f>B5*E5/100</f>
        <v>5970.9301358073462</v>
      </c>
      <c r="H5" s="13">
        <f>F5*B2+G5</f>
        <v>126949.00329137874</v>
      </c>
      <c r="I5" s="8"/>
      <c r="J5" s="8" t="s">
        <v>16</v>
      </c>
      <c r="K5" s="63">
        <f>K4+L5</f>
        <v>77244</v>
      </c>
      <c r="L5" s="2">
        <v>40200</v>
      </c>
      <c r="M5" t="s">
        <v>57</v>
      </c>
    </row>
    <row r="6" spans="1:13" ht="15.75" thickBot="1" x14ac:dyDescent="0.3">
      <c r="A6" s="16" t="s">
        <v>17</v>
      </c>
      <c r="B6" s="99">
        <f>SUM(B4:B5)</f>
        <v>288916.01</v>
      </c>
    </row>
    <row r="7" spans="1:13" ht="15.75" thickBot="1" x14ac:dyDescent="0.3">
      <c r="A7" s="18" t="s">
        <v>18</v>
      </c>
      <c r="B7" s="99">
        <f>SUM(B5:B6)</f>
        <v>302504.91000000003</v>
      </c>
      <c r="G7" s="104"/>
      <c r="H7" s="20">
        <f>SUM(H4:H6)</f>
        <v>288916.00999999995</v>
      </c>
      <c r="K7" s="64"/>
    </row>
    <row r="8" spans="1:13" ht="15.75" thickBot="1" x14ac:dyDescent="0.3">
      <c r="A8" s="18" t="s">
        <v>19</v>
      </c>
      <c r="B8" s="21"/>
    </row>
    <row r="9" spans="1:13" x14ac:dyDescent="0.25">
      <c r="A9" s="22"/>
      <c r="B9" s="23"/>
      <c r="C9" s="24"/>
      <c r="D9" s="109"/>
      <c r="E9" s="109"/>
      <c r="F9" s="24"/>
    </row>
    <row r="10" spans="1:13" x14ac:dyDescent="0.25">
      <c r="A10" s="25"/>
      <c r="B10" s="26"/>
    </row>
    <row r="11" spans="1:13" ht="15" customHeight="1" x14ac:dyDescent="0.25">
      <c r="B11" s="113" t="s">
        <v>20</v>
      </c>
      <c r="C11" s="110" t="s">
        <v>21</v>
      </c>
      <c r="D11" s="115" t="s">
        <v>22</v>
      </c>
      <c r="E11" s="110" t="s">
        <v>23</v>
      </c>
      <c r="F11" s="110"/>
      <c r="G11" s="110" t="s">
        <v>24</v>
      </c>
      <c r="H11" s="115" t="s">
        <v>25</v>
      </c>
      <c r="I11" s="24"/>
    </row>
    <row r="12" spans="1:13" ht="47.25" customHeight="1" x14ac:dyDescent="0.25">
      <c r="B12" s="110"/>
      <c r="C12" s="110"/>
      <c r="D12" s="115"/>
      <c r="E12" s="29" t="s">
        <v>67</v>
      </c>
      <c r="F12" s="29" t="s">
        <v>68</v>
      </c>
      <c r="G12" s="110"/>
      <c r="H12" s="115"/>
      <c r="I12" s="28" t="s">
        <v>28</v>
      </c>
      <c r="J12" s="65" t="s">
        <v>29</v>
      </c>
      <c r="K12" s="66" t="s">
        <v>30</v>
      </c>
      <c r="L12" s="67"/>
      <c r="M12" s="68"/>
    </row>
    <row r="13" spans="1:13" ht="47.25" customHeight="1" x14ac:dyDescent="0.25">
      <c r="B13" s="27" t="s">
        <v>31</v>
      </c>
      <c r="C13" s="27"/>
      <c r="D13" s="28"/>
      <c r="E13" s="31">
        <v>25540.06</v>
      </c>
      <c r="F13" s="31">
        <v>25537.95</v>
      </c>
      <c r="G13" s="32">
        <f>E13-F13</f>
        <v>2.1100000000005821</v>
      </c>
      <c r="H13" s="33">
        <v>200</v>
      </c>
      <c r="I13" s="69">
        <v>0</v>
      </c>
      <c r="J13" s="65"/>
      <c r="K13" s="66"/>
      <c r="L13" s="67"/>
      <c r="M13" s="68"/>
    </row>
    <row r="14" spans="1:13" ht="47.25" customHeight="1" x14ac:dyDescent="0.25">
      <c r="B14" s="27" t="s">
        <v>32</v>
      </c>
      <c r="C14" s="27"/>
      <c r="D14" s="28"/>
      <c r="E14" s="31">
        <v>10267.41</v>
      </c>
      <c r="F14" s="31">
        <v>10193.040000000001</v>
      </c>
      <c r="G14" s="32">
        <f>E14-F14</f>
        <v>74.369999999998981</v>
      </c>
      <c r="H14" s="33">
        <v>200</v>
      </c>
      <c r="I14" s="33">
        <f t="shared" ref="I14:I25" si="0">H14*G14</f>
        <v>14873.999999999796</v>
      </c>
      <c r="J14" s="65"/>
      <c r="K14" s="66"/>
      <c r="L14" s="67"/>
      <c r="M14" s="68"/>
    </row>
    <row r="15" spans="1:13" x14ac:dyDescent="0.25">
      <c r="A15" s="34" t="s">
        <v>33</v>
      </c>
      <c r="B15" s="25" t="s">
        <v>34</v>
      </c>
      <c r="C15" s="32">
        <v>851</v>
      </c>
      <c r="D15" s="35">
        <v>821430</v>
      </c>
      <c r="E15" s="37">
        <v>12077</v>
      </c>
      <c r="F15" s="37">
        <v>12077</v>
      </c>
      <c r="G15" s="32">
        <f>E15-F15</f>
        <v>0</v>
      </c>
      <c r="H15" s="33">
        <v>30</v>
      </c>
      <c r="I15" s="33">
        <f t="shared" si="0"/>
        <v>0</v>
      </c>
      <c r="J15" s="32">
        <f>(I15*J7)-I15</f>
        <v>0</v>
      </c>
      <c r="K15" s="32">
        <f>J15+I15</f>
        <v>0</v>
      </c>
      <c r="L15" s="67">
        <f>K15*B2</f>
        <v>0</v>
      </c>
      <c r="M15" s="32"/>
    </row>
    <row r="16" spans="1:13" x14ac:dyDescent="0.25">
      <c r="A16" s="34" t="s">
        <v>35</v>
      </c>
      <c r="B16" s="25" t="s">
        <v>36</v>
      </c>
      <c r="C16" s="32">
        <v>839</v>
      </c>
      <c r="D16" s="35">
        <v>821436</v>
      </c>
      <c r="E16" s="37">
        <v>14163</v>
      </c>
      <c r="F16" s="37">
        <v>14163</v>
      </c>
      <c r="G16" s="32">
        <f t="shared" ref="G16:G25" si="1">E16-F16</f>
        <v>0</v>
      </c>
      <c r="H16" s="33">
        <v>30</v>
      </c>
      <c r="I16" s="33">
        <f t="shared" si="0"/>
        <v>0</v>
      </c>
      <c r="J16" s="32">
        <f>(I16*J7)-I16</f>
        <v>0</v>
      </c>
      <c r="K16" s="32">
        <f t="shared" ref="K16:K23" si="2">J16+I16</f>
        <v>0</v>
      </c>
      <c r="L16" s="67">
        <f>K16*B2</f>
        <v>0</v>
      </c>
      <c r="M16" s="32"/>
    </row>
    <row r="17" spans="1:13" x14ac:dyDescent="0.25">
      <c r="A17" s="34"/>
      <c r="B17" s="25" t="s">
        <v>37</v>
      </c>
      <c r="C17" s="32">
        <v>428</v>
      </c>
      <c r="D17" s="35">
        <v>11829942</v>
      </c>
      <c r="E17" s="37">
        <v>2213</v>
      </c>
      <c r="F17" s="37">
        <v>2213</v>
      </c>
      <c r="G17" s="32">
        <f t="shared" si="1"/>
        <v>0</v>
      </c>
      <c r="H17" s="33">
        <v>40</v>
      </c>
      <c r="I17" s="33">
        <f t="shared" si="0"/>
        <v>0</v>
      </c>
      <c r="J17" s="32">
        <f>(I17*J7)-I17</f>
        <v>0</v>
      </c>
      <c r="K17" s="32">
        <f t="shared" si="2"/>
        <v>0</v>
      </c>
      <c r="L17" s="67">
        <f>K17*B2</f>
        <v>0</v>
      </c>
      <c r="M17" s="32"/>
    </row>
    <row r="18" spans="1:13" x14ac:dyDescent="0.25">
      <c r="A18" s="34"/>
      <c r="B18" s="25" t="s">
        <v>38</v>
      </c>
      <c r="C18" s="32">
        <v>415</v>
      </c>
      <c r="D18" s="35">
        <v>820614</v>
      </c>
      <c r="E18" s="37">
        <v>14226</v>
      </c>
      <c r="F18" s="37">
        <v>14226</v>
      </c>
      <c r="G18" s="32">
        <f t="shared" si="1"/>
        <v>0</v>
      </c>
      <c r="H18" s="33">
        <v>40</v>
      </c>
      <c r="I18" s="33">
        <f t="shared" si="0"/>
        <v>0</v>
      </c>
      <c r="J18" s="32">
        <f>(I18*J7)-I18</f>
        <v>0</v>
      </c>
      <c r="K18" s="32">
        <f t="shared" si="2"/>
        <v>0</v>
      </c>
      <c r="L18" s="67">
        <f>K18*B2</f>
        <v>0</v>
      </c>
      <c r="M18" s="32"/>
    </row>
    <row r="19" spans="1:13" x14ac:dyDescent="0.25">
      <c r="A19" s="34"/>
      <c r="B19" s="25" t="s">
        <v>39</v>
      </c>
      <c r="C19" s="32">
        <v>428</v>
      </c>
      <c r="D19" s="35">
        <v>820573</v>
      </c>
      <c r="E19" s="37">
        <v>10172</v>
      </c>
      <c r="F19" s="37">
        <v>10172</v>
      </c>
      <c r="G19" s="32">
        <f t="shared" si="1"/>
        <v>0</v>
      </c>
      <c r="H19" s="33">
        <v>40</v>
      </c>
      <c r="I19" s="33">
        <f t="shared" si="0"/>
        <v>0</v>
      </c>
      <c r="J19" s="32">
        <f>(I19*J7)-I19</f>
        <v>0</v>
      </c>
      <c r="K19" s="32">
        <f t="shared" si="2"/>
        <v>0</v>
      </c>
      <c r="L19" s="67">
        <f>K19*B3</f>
        <v>0</v>
      </c>
      <c r="M19" s="32"/>
    </row>
    <row r="20" spans="1:13" x14ac:dyDescent="0.25">
      <c r="A20" s="34"/>
      <c r="B20" s="25" t="s">
        <v>40</v>
      </c>
      <c r="C20" s="32">
        <v>292</v>
      </c>
      <c r="D20" s="35">
        <v>10808904</v>
      </c>
      <c r="E20" s="37">
        <v>11686</v>
      </c>
      <c r="F20" s="37">
        <v>11686</v>
      </c>
      <c r="G20" s="32">
        <f t="shared" si="1"/>
        <v>0</v>
      </c>
      <c r="H20" s="33">
        <v>1</v>
      </c>
      <c r="I20" s="33">
        <f t="shared" si="0"/>
        <v>0</v>
      </c>
      <c r="J20" s="32">
        <f t="shared" ref="J20:J25" si="3">(I20*J8)-I20</f>
        <v>0</v>
      </c>
      <c r="K20" s="32">
        <f t="shared" si="2"/>
        <v>0</v>
      </c>
      <c r="L20" s="67">
        <f>K20*B4</f>
        <v>0</v>
      </c>
      <c r="M20" s="32"/>
    </row>
    <row r="21" spans="1:13" x14ac:dyDescent="0.25">
      <c r="A21" s="34" t="s">
        <v>33</v>
      </c>
      <c r="B21" s="32" t="s">
        <v>41</v>
      </c>
      <c r="C21" s="32">
        <v>573</v>
      </c>
      <c r="D21" s="35">
        <v>945448</v>
      </c>
      <c r="E21" s="37">
        <v>198037</v>
      </c>
      <c r="F21" s="37">
        <v>195941</v>
      </c>
      <c r="G21" s="32">
        <f t="shared" si="1"/>
        <v>2096</v>
      </c>
      <c r="H21" s="33">
        <v>1</v>
      </c>
      <c r="I21" s="33">
        <f t="shared" si="0"/>
        <v>2096</v>
      </c>
      <c r="J21" s="32">
        <v>0</v>
      </c>
      <c r="K21" s="32">
        <f t="shared" si="2"/>
        <v>2096</v>
      </c>
      <c r="L21" s="67">
        <f>K21*B2</f>
        <v>32203.438758928569</v>
      </c>
      <c r="M21" s="32"/>
    </row>
    <row r="22" spans="1:13" x14ac:dyDescent="0.25">
      <c r="A22" s="34" t="s">
        <v>42</v>
      </c>
      <c r="B22" s="32" t="s">
        <v>43</v>
      </c>
      <c r="C22" s="32">
        <v>573</v>
      </c>
      <c r="D22" s="35">
        <v>945448</v>
      </c>
      <c r="E22" s="37">
        <v>635320</v>
      </c>
      <c r="F22" s="37">
        <v>631613</v>
      </c>
      <c r="G22" s="32">
        <f t="shared" si="1"/>
        <v>3707</v>
      </c>
      <c r="H22" s="33">
        <v>1</v>
      </c>
      <c r="I22" s="33">
        <f t="shared" si="0"/>
        <v>3707</v>
      </c>
      <c r="J22" s="32">
        <v>0</v>
      </c>
      <c r="K22" s="32">
        <f t="shared" si="2"/>
        <v>3707</v>
      </c>
      <c r="L22" s="67">
        <f>(K22*B2)</f>
        <v>56955.223034040173</v>
      </c>
      <c r="M22" s="32"/>
    </row>
    <row r="23" spans="1:13" x14ac:dyDescent="0.25">
      <c r="A23" s="34"/>
      <c r="B23" s="32" t="s">
        <v>44</v>
      </c>
      <c r="C23" s="32"/>
      <c r="D23" s="35">
        <v>906068</v>
      </c>
      <c r="E23" s="37">
        <v>406287</v>
      </c>
      <c r="F23" s="37">
        <v>405521</v>
      </c>
      <c r="G23" s="32">
        <f t="shared" si="1"/>
        <v>766</v>
      </c>
      <c r="H23" s="33">
        <v>1</v>
      </c>
      <c r="I23" s="33">
        <f t="shared" si="0"/>
        <v>766</v>
      </c>
      <c r="J23" s="32">
        <v>0</v>
      </c>
      <c r="K23" s="32">
        <f t="shared" si="2"/>
        <v>766</v>
      </c>
      <c r="L23" s="67">
        <f>K23*B2</f>
        <v>11769.004813616071</v>
      </c>
      <c r="M23" s="32"/>
    </row>
    <row r="24" spans="1:13" s="1" customFormat="1" x14ac:dyDescent="0.25">
      <c r="A24" s="38"/>
      <c r="B24" s="39" t="s">
        <v>45</v>
      </c>
      <c r="C24" s="39" t="s">
        <v>46</v>
      </c>
      <c r="D24" s="40">
        <v>8638117</v>
      </c>
      <c r="E24" s="41">
        <v>14708</v>
      </c>
      <c r="F24" s="91">
        <v>14708</v>
      </c>
      <c r="G24" s="39">
        <f t="shared" si="1"/>
        <v>0</v>
      </c>
      <c r="H24" s="42">
        <v>160</v>
      </c>
      <c r="I24" s="42">
        <f t="shared" si="0"/>
        <v>0</v>
      </c>
      <c r="J24" s="70">
        <v>0</v>
      </c>
      <c r="K24" s="39">
        <f>(J24+I24)*0.647</f>
        <v>0</v>
      </c>
      <c r="L24" s="71">
        <f>(K24*B2)</f>
        <v>0</v>
      </c>
      <c r="M24" s="71"/>
    </row>
    <row r="25" spans="1:13" s="1" customFormat="1" x14ac:dyDescent="0.25">
      <c r="A25" s="38"/>
      <c r="B25" s="39" t="s">
        <v>47</v>
      </c>
      <c r="C25" s="39" t="s">
        <v>46</v>
      </c>
      <c r="D25" s="40">
        <v>915199</v>
      </c>
      <c r="E25" s="41">
        <v>176409</v>
      </c>
      <c r="F25" s="91">
        <v>176409</v>
      </c>
      <c r="G25" s="39">
        <f t="shared" si="1"/>
        <v>0</v>
      </c>
      <c r="H25" s="42">
        <v>1</v>
      </c>
      <c r="I25" s="42">
        <f t="shared" si="0"/>
        <v>0</v>
      </c>
      <c r="J25" s="70">
        <f t="shared" si="3"/>
        <v>0</v>
      </c>
      <c r="K25" s="39">
        <f>(J25+I25)*0.647</f>
        <v>0</v>
      </c>
      <c r="L25" s="71">
        <f>(K25*B2)</f>
        <v>0</v>
      </c>
      <c r="M25" s="71"/>
    </row>
    <row r="26" spans="1:13" x14ac:dyDescent="0.25">
      <c r="B26" s="32" t="s">
        <v>48</v>
      </c>
      <c r="C26" s="32" t="s">
        <v>46</v>
      </c>
      <c r="D26" s="43"/>
      <c r="E26" s="25"/>
      <c r="F26" s="37"/>
      <c r="G26" s="39"/>
      <c r="H26" s="32"/>
      <c r="I26" s="32"/>
      <c r="J26" s="32"/>
      <c r="K26" s="32"/>
      <c r="L26" s="67">
        <f>B5*J7</f>
        <v>0</v>
      </c>
    </row>
    <row r="27" spans="1:13" ht="15.75" thickBot="1" x14ac:dyDescent="0.3">
      <c r="B27" s="32" t="s">
        <v>59</v>
      </c>
      <c r="C27" s="32"/>
      <c r="D27" s="43"/>
      <c r="E27" s="25">
        <v>148950</v>
      </c>
      <c r="F27" s="37">
        <v>147258</v>
      </c>
      <c r="G27" s="39">
        <f t="shared" ref="G27" si="4">E27-F27</f>
        <v>1692</v>
      </c>
      <c r="H27" s="32">
        <v>1</v>
      </c>
      <c r="I27" s="33">
        <f>H27*G27</f>
        <v>1692</v>
      </c>
      <c r="J27" s="32"/>
      <c r="K27" s="32"/>
      <c r="L27" s="67"/>
    </row>
    <row r="28" spans="1:13" ht="15.75" thickBot="1" x14ac:dyDescent="0.3">
      <c r="B28" s="44" t="s">
        <v>49</v>
      </c>
      <c r="C28" s="45"/>
      <c r="D28" s="46"/>
      <c r="E28" s="47"/>
      <c r="F28" s="47"/>
      <c r="G28" s="45"/>
      <c r="H28" s="45"/>
      <c r="I28" s="72"/>
      <c r="J28" s="45">
        <f>J6*J7</f>
        <v>0</v>
      </c>
      <c r="K28" s="73">
        <f>J28+I28</f>
        <v>0</v>
      </c>
      <c r="L28" s="74"/>
      <c r="M28" s="75"/>
    </row>
    <row r="29" spans="1:13" ht="15.75" thickBot="1" x14ac:dyDescent="0.3">
      <c r="A29" s="48" t="s">
        <v>50</v>
      </c>
      <c r="B29" s="49" t="s">
        <v>48</v>
      </c>
      <c r="C29" s="49" t="s">
        <v>46</v>
      </c>
      <c r="D29" s="50"/>
      <c r="E29" s="51"/>
      <c r="F29" s="51"/>
      <c r="G29" s="49"/>
      <c r="H29" s="49"/>
      <c r="I29" s="76"/>
      <c r="J29" s="49">
        <f>G5</f>
        <v>5970.9301358073462</v>
      </c>
      <c r="K29" s="77">
        <f>F5</f>
        <v>7874.005109587064</v>
      </c>
      <c r="L29" s="78">
        <f>(K29*B2)+J29</f>
        <v>126949.00329137874</v>
      </c>
      <c r="M29" s="79"/>
    </row>
    <row r="31" spans="1:13" x14ac:dyDescent="0.25">
      <c r="B31" s="109" t="s">
        <v>51</v>
      </c>
      <c r="C31" s="109"/>
      <c r="D31" s="24"/>
    </row>
    <row r="32" spans="1:13" x14ac:dyDescent="0.25">
      <c r="B32" s="114" t="s">
        <v>20</v>
      </c>
      <c r="C32" s="114" t="s">
        <v>21</v>
      </c>
      <c r="D32" s="116" t="s">
        <v>22</v>
      </c>
      <c r="E32" s="111" t="s">
        <v>23</v>
      </c>
      <c r="F32" s="112"/>
      <c r="G32" s="114" t="s">
        <v>24</v>
      </c>
      <c r="H32" s="116" t="s">
        <v>25</v>
      </c>
      <c r="I32" s="24"/>
    </row>
    <row r="33" spans="2:13" ht="45" x14ac:dyDescent="0.25">
      <c r="B33" s="113"/>
      <c r="C33" s="113"/>
      <c r="D33" s="117"/>
      <c r="E33" s="29" t="s">
        <v>67</v>
      </c>
      <c r="F33" s="29" t="s">
        <v>68</v>
      </c>
      <c r="G33" s="113"/>
      <c r="H33" s="117"/>
      <c r="I33" s="28" t="s">
        <v>52</v>
      </c>
      <c r="J33" s="65" t="s">
        <v>62</v>
      </c>
      <c r="K33" s="66"/>
      <c r="L33" s="67" t="s">
        <v>54</v>
      </c>
      <c r="M33" s="68"/>
    </row>
    <row r="34" spans="2:13" x14ac:dyDescent="0.25">
      <c r="B34" s="25" t="s">
        <v>55</v>
      </c>
      <c r="C34" s="32"/>
      <c r="D34" s="35">
        <v>821430</v>
      </c>
      <c r="E34" s="25">
        <v>595.41</v>
      </c>
      <c r="F34" s="25">
        <v>491.18</v>
      </c>
      <c r="G34" s="32">
        <f>E34-F34</f>
        <v>104.22999999999996</v>
      </c>
      <c r="H34" s="33">
        <v>80</v>
      </c>
      <c r="I34" s="33">
        <f>H34*G34</f>
        <v>8338.3999999999978</v>
      </c>
      <c r="J34" s="32"/>
      <c r="K34" s="32"/>
      <c r="L34" s="67">
        <f>J34*B2</f>
        <v>0</v>
      </c>
      <c r="M34" s="32"/>
    </row>
    <row r="35" spans="2:13" ht="15.75" thickBot="1" x14ac:dyDescent="0.3">
      <c r="B35" s="52" t="s">
        <v>48</v>
      </c>
      <c r="C35" s="52" t="s">
        <v>46</v>
      </c>
      <c r="D35" s="53"/>
      <c r="E35" s="54"/>
      <c r="F35" s="54"/>
      <c r="G35" s="52"/>
      <c r="H35" s="52"/>
      <c r="I35" s="52"/>
      <c r="J35" s="52"/>
      <c r="K35" s="52"/>
      <c r="L35" s="80"/>
      <c r="M35" s="81"/>
    </row>
    <row r="36" spans="2:13" ht="15.75" thickBot="1" x14ac:dyDescent="0.3">
      <c r="B36" s="55" t="s">
        <v>49</v>
      </c>
      <c r="C36" s="56"/>
      <c r="D36" s="57"/>
      <c r="E36" s="58"/>
      <c r="F36" s="58"/>
      <c r="G36" s="56"/>
      <c r="H36" s="56"/>
      <c r="I36" s="82">
        <f>SUM(I34:I35)</f>
        <v>8338.3999999999978</v>
      </c>
      <c r="J36" s="56"/>
      <c r="K36" s="83">
        <f>SUM(K34:K35)</f>
        <v>0</v>
      </c>
      <c r="L36" s="84"/>
      <c r="M36" s="85"/>
    </row>
    <row r="37" spans="2:13" ht="15.75" thickBot="1" x14ac:dyDescent="0.3">
      <c r="B37" s="48" t="s">
        <v>50</v>
      </c>
      <c r="C37" s="59"/>
      <c r="D37" s="60"/>
      <c r="E37" s="61"/>
      <c r="F37" s="61"/>
      <c r="G37" s="59"/>
      <c r="H37" s="59"/>
      <c r="I37" s="59"/>
      <c r="J37" s="59"/>
      <c r="K37" s="59"/>
      <c r="L37" s="86">
        <f>H4</f>
        <v>161967.00670862119</v>
      </c>
      <c r="M37" t="s">
        <v>63</v>
      </c>
    </row>
    <row r="39" spans="2:13" x14ac:dyDescent="0.25">
      <c r="I39" s="87"/>
      <c r="K39" s="64"/>
      <c r="L39" s="88"/>
    </row>
    <row r="40" spans="2:13" x14ac:dyDescent="0.25">
      <c r="L40" s="88"/>
    </row>
  </sheetData>
  <mergeCells count="14">
    <mergeCell ref="D9:E9"/>
    <mergeCell ref="B11:B12"/>
    <mergeCell ref="C11:C12"/>
    <mergeCell ref="D11:D12"/>
    <mergeCell ref="E11:F11"/>
    <mergeCell ref="H11:H12"/>
    <mergeCell ref="B31:C31"/>
    <mergeCell ref="B32:B33"/>
    <mergeCell ref="C32:C33"/>
    <mergeCell ref="D32:D33"/>
    <mergeCell ref="E32:F32"/>
    <mergeCell ref="G32:G33"/>
    <mergeCell ref="H32:H33"/>
    <mergeCell ref="G11:G12"/>
  </mergeCells>
  <pageMargins left="0.7" right="0.7" top="0.75" bottom="0.75" header="0.3" footer="0.3"/>
  <pageSetup paperSize="9" orientation="portrait" verticalDpi="36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4" zoomScaleNormal="100" workbookViewId="0">
      <selection activeCell="O12" sqref="O12"/>
    </sheetView>
  </sheetViews>
  <sheetFormatPr defaultColWidth="9" defaultRowHeight="15" x14ac:dyDescent="0.25"/>
  <cols>
    <col min="1" max="1" width="28.5703125" customWidth="1"/>
    <col min="2" max="2" width="18.140625" customWidth="1"/>
    <col min="3" max="4" width="15.85546875" customWidth="1"/>
    <col min="5" max="5" width="15.140625" customWidth="1"/>
    <col min="6" max="6" width="16" customWidth="1"/>
    <col min="7" max="7" width="14.7109375" customWidth="1"/>
    <col min="8" max="8" width="21.42578125" customWidth="1"/>
    <col min="9" max="9" width="14.85546875" customWidth="1"/>
    <col min="10" max="10" width="16" customWidth="1"/>
    <col min="11" max="11" width="12.140625" customWidth="1"/>
    <col min="12" max="12" width="12.28515625" style="2" customWidth="1"/>
    <col min="13" max="13" width="15" customWidth="1"/>
    <col min="16" max="17" width="11.42578125" customWidth="1"/>
    <col min="21" max="21" width="7.5703125" customWidth="1"/>
    <col min="24" max="24" width="13.28515625" customWidth="1"/>
    <col min="26" max="26" width="25.85546875" customWidth="1"/>
    <col min="28" max="29" width="10.85546875" customWidth="1"/>
    <col min="30" max="30" width="12.5703125" customWidth="1"/>
  </cols>
  <sheetData>
    <row r="1" spans="1:13" ht="46.5" customHeight="1" x14ac:dyDescent="0.25">
      <c r="A1" s="3" t="s">
        <v>0</v>
      </c>
      <c r="B1" s="101">
        <v>3253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/>
      <c r="K1" s="5" t="s">
        <v>7</v>
      </c>
    </row>
    <row r="2" spans="1:13" x14ac:dyDescent="0.25">
      <c r="A2" s="6" t="s">
        <v>8</v>
      </c>
      <c r="B2" s="107">
        <f>B4/B3</f>
        <v>11.233164070612668</v>
      </c>
      <c r="C2" s="8"/>
      <c r="D2" s="8"/>
      <c r="E2" s="8"/>
      <c r="F2" s="8"/>
      <c r="G2" s="8"/>
      <c r="H2" s="8"/>
      <c r="I2" s="8"/>
      <c r="J2" s="8" t="s">
        <v>56</v>
      </c>
      <c r="K2" s="8">
        <f>Жовтень!K5</f>
        <v>62059.199999999997</v>
      </c>
    </row>
    <row r="3" spans="1:13" x14ac:dyDescent="0.25">
      <c r="A3" s="9" t="s">
        <v>10</v>
      </c>
      <c r="B3" s="103">
        <v>19260</v>
      </c>
      <c r="C3" s="102">
        <v>19260</v>
      </c>
      <c r="D3" s="8">
        <f>I14+I13</f>
        <v>17653.999999999724</v>
      </c>
      <c r="E3" s="8"/>
      <c r="F3" s="8"/>
      <c r="G3" s="8"/>
      <c r="H3" s="8"/>
      <c r="I3" s="8"/>
      <c r="J3" s="8" t="s">
        <v>11</v>
      </c>
      <c r="K3" s="8">
        <f>I34*3</f>
        <v>27607.200000000019</v>
      </c>
    </row>
    <row r="4" spans="1:13" x14ac:dyDescent="0.25">
      <c r="A4" s="6" t="s">
        <v>12</v>
      </c>
      <c r="B4" s="100">
        <v>216350.74</v>
      </c>
      <c r="C4" s="8" t="s">
        <v>13</v>
      </c>
      <c r="D4" s="8">
        <f>I34</f>
        <v>9202.4000000000069</v>
      </c>
      <c r="E4" s="8">
        <f>D4/D3*100</f>
        <v>52.126430270761027</v>
      </c>
      <c r="F4" s="8">
        <f>E4*C3/100</f>
        <v>10039.550470148573</v>
      </c>
      <c r="G4" s="8">
        <f>B5*E4/100</f>
        <v>13040.088537895306</v>
      </c>
      <c r="H4" s="13">
        <f>F4*B2+G4</f>
        <v>125816.00616427079</v>
      </c>
      <c r="I4" s="62"/>
      <c r="J4" s="8"/>
      <c r="K4" s="8">
        <f>K2-K3</f>
        <v>34451.999999999978</v>
      </c>
    </row>
    <row r="5" spans="1:13" ht="15.75" thickBot="1" x14ac:dyDescent="0.3">
      <c r="A5" s="14" t="s">
        <v>14</v>
      </c>
      <c r="B5" s="15">
        <f>22972.92+2043.35</f>
        <v>25016.269999999997</v>
      </c>
      <c r="C5" s="8" t="s">
        <v>15</v>
      </c>
      <c r="D5" s="8">
        <f>D3-D4</f>
        <v>8451.5999999997166</v>
      </c>
      <c r="E5" s="8">
        <f>D5/D3*100</f>
        <v>47.87356972923898</v>
      </c>
      <c r="F5" s="8">
        <f>E5*C3/100</f>
        <v>9220.4495298514266</v>
      </c>
      <c r="G5" s="8">
        <f>B5*E5/100</f>
        <v>11976.181462104691</v>
      </c>
      <c r="H5" s="13">
        <f>F5*B2+G5</f>
        <v>115551.00383572921</v>
      </c>
      <c r="I5" s="8"/>
      <c r="J5" s="8" t="s">
        <v>16</v>
      </c>
      <c r="K5" s="63">
        <f>K4+L5</f>
        <v>74651.999999999971</v>
      </c>
      <c r="L5" s="2">
        <v>40200</v>
      </c>
      <c r="M5" t="s">
        <v>57</v>
      </c>
    </row>
    <row r="6" spans="1:13" ht="15.75" thickBot="1" x14ac:dyDescent="0.3">
      <c r="A6" s="16" t="s">
        <v>17</v>
      </c>
      <c r="B6" s="99">
        <f>SUM(B4:B5)</f>
        <v>241367.00999999998</v>
      </c>
    </row>
    <row r="7" spans="1:13" ht="15.75" thickBot="1" x14ac:dyDescent="0.3">
      <c r="A7" s="18" t="s">
        <v>18</v>
      </c>
      <c r="B7" s="99">
        <f>SUM(B6)</f>
        <v>241367.00999999998</v>
      </c>
      <c r="G7" s="104"/>
      <c r="H7" s="20">
        <f>SUM(H4:H6)</f>
        <v>241367.01</v>
      </c>
      <c r="K7" s="64"/>
    </row>
    <row r="8" spans="1:13" ht="15.75" thickBot="1" x14ac:dyDescent="0.3">
      <c r="A8" s="18" t="s">
        <v>19</v>
      </c>
      <c r="B8" s="21"/>
    </row>
    <row r="9" spans="1:13" x14ac:dyDescent="0.25">
      <c r="A9" s="22"/>
      <c r="B9" s="23"/>
      <c r="C9" s="24"/>
      <c r="D9" s="109"/>
      <c r="E9" s="109"/>
      <c r="F9" s="24"/>
    </row>
    <row r="10" spans="1:13" x14ac:dyDescent="0.25">
      <c r="A10" s="25"/>
      <c r="B10" s="26"/>
    </row>
    <row r="11" spans="1:13" ht="15" customHeight="1" x14ac:dyDescent="0.25">
      <c r="B11" s="113" t="s">
        <v>20</v>
      </c>
      <c r="C11" s="110" t="s">
        <v>21</v>
      </c>
      <c r="D11" s="115" t="s">
        <v>22</v>
      </c>
      <c r="E11" s="110" t="s">
        <v>23</v>
      </c>
      <c r="F11" s="110"/>
      <c r="G11" s="110" t="s">
        <v>24</v>
      </c>
      <c r="H11" s="115" t="s">
        <v>25</v>
      </c>
      <c r="I11" s="24"/>
    </row>
    <row r="12" spans="1:13" ht="47.25" customHeight="1" x14ac:dyDescent="0.25">
      <c r="B12" s="110"/>
      <c r="C12" s="110"/>
      <c r="D12" s="115"/>
      <c r="E12" s="29" t="s">
        <v>70</v>
      </c>
      <c r="F12" s="29" t="s">
        <v>69</v>
      </c>
      <c r="G12" s="110"/>
      <c r="H12" s="115"/>
      <c r="I12" s="28" t="s">
        <v>28</v>
      </c>
      <c r="J12" s="65" t="s">
        <v>29</v>
      </c>
      <c r="K12" s="66" t="s">
        <v>30</v>
      </c>
      <c r="L12" s="67"/>
      <c r="M12" s="68"/>
    </row>
    <row r="13" spans="1:13" ht="47.25" customHeight="1" x14ac:dyDescent="0.25">
      <c r="B13" s="27" t="s">
        <v>31</v>
      </c>
      <c r="C13" s="27"/>
      <c r="D13" s="28"/>
      <c r="E13" s="31">
        <v>25540.37</v>
      </c>
      <c r="F13" s="31">
        <v>25540.06</v>
      </c>
      <c r="G13" s="32">
        <f>E13-F13</f>
        <v>0.30999999999767169</v>
      </c>
      <c r="H13" s="33">
        <v>200</v>
      </c>
      <c r="I13" s="33">
        <f>H13*G13</f>
        <v>61.999999999534339</v>
      </c>
      <c r="J13" s="65"/>
      <c r="K13" s="66"/>
      <c r="L13" s="67"/>
      <c r="M13" s="68"/>
    </row>
    <row r="14" spans="1:13" ht="47.25" customHeight="1" x14ac:dyDescent="0.25">
      <c r="B14" s="27" t="s">
        <v>32</v>
      </c>
      <c r="C14" s="27"/>
      <c r="D14" s="28"/>
      <c r="E14" s="31">
        <v>10355.370000000001</v>
      </c>
      <c r="F14" s="31">
        <v>10267.41</v>
      </c>
      <c r="G14" s="32">
        <f>E14-F14</f>
        <v>87.960000000000946</v>
      </c>
      <c r="H14" s="33">
        <v>200</v>
      </c>
      <c r="I14" s="33">
        <f>H14*G14</f>
        <v>17592.000000000189</v>
      </c>
      <c r="J14" s="65"/>
      <c r="K14" s="66"/>
      <c r="L14" s="67"/>
      <c r="M14" s="68"/>
    </row>
    <row r="15" spans="1:13" x14ac:dyDescent="0.25">
      <c r="A15" s="34" t="s">
        <v>33</v>
      </c>
      <c r="B15" s="25" t="s">
        <v>34</v>
      </c>
      <c r="C15" s="32">
        <v>851</v>
      </c>
      <c r="D15" s="35">
        <v>821430</v>
      </c>
      <c r="E15" s="105">
        <v>12077</v>
      </c>
      <c r="F15" s="105">
        <v>12077</v>
      </c>
      <c r="G15" s="32">
        <f>E15-F15</f>
        <v>0</v>
      </c>
      <c r="H15" s="33">
        <v>30</v>
      </c>
      <c r="I15" s="33">
        <f t="shared" ref="I15:I25" si="0">H15*G15</f>
        <v>0</v>
      </c>
      <c r="J15" s="32">
        <f>(I15*J7)-I15</f>
        <v>0</v>
      </c>
      <c r="K15" s="32">
        <f>J15+I15</f>
        <v>0</v>
      </c>
      <c r="L15" s="67">
        <f>K15*B2</f>
        <v>0</v>
      </c>
      <c r="M15" s="32"/>
    </row>
    <row r="16" spans="1:13" x14ac:dyDescent="0.25">
      <c r="A16" s="34" t="s">
        <v>35</v>
      </c>
      <c r="B16" s="25" t="s">
        <v>36</v>
      </c>
      <c r="C16" s="32">
        <v>839</v>
      </c>
      <c r="D16" s="35">
        <v>821436</v>
      </c>
      <c r="E16" s="105">
        <v>14163</v>
      </c>
      <c r="F16" s="105">
        <v>14163</v>
      </c>
      <c r="G16" s="32">
        <f t="shared" ref="G16:G25" si="1">E16-F16</f>
        <v>0</v>
      </c>
      <c r="H16" s="33">
        <v>30</v>
      </c>
      <c r="I16" s="33">
        <f t="shared" si="0"/>
        <v>0</v>
      </c>
      <c r="J16" s="32">
        <f>(I16*J7)-I16</f>
        <v>0</v>
      </c>
      <c r="K16" s="32">
        <f t="shared" ref="K16:K23" si="2">J16+I16</f>
        <v>0</v>
      </c>
      <c r="L16" s="67">
        <f>K16*B2</f>
        <v>0</v>
      </c>
      <c r="M16" s="32"/>
    </row>
    <row r="17" spans="1:13" x14ac:dyDescent="0.25">
      <c r="A17" s="34"/>
      <c r="B17" s="25" t="s">
        <v>37</v>
      </c>
      <c r="C17" s="32">
        <v>428</v>
      </c>
      <c r="D17" s="35">
        <v>11829942</v>
      </c>
      <c r="E17" s="105">
        <v>2213</v>
      </c>
      <c r="F17" s="105">
        <v>2213</v>
      </c>
      <c r="G17" s="32">
        <f t="shared" si="1"/>
        <v>0</v>
      </c>
      <c r="H17" s="33">
        <v>40</v>
      </c>
      <c r="I17" s="33">
        <f t="shared" si="0"/>
        <v>0</v>
      </c>
      <c r="J17" s="32">
        <f>(I17*J7)-I17</f>
        <v>0</v>
      </c>
      <c r="K17" s="32">
        <f t="shared" si="2"/>
        <v>0</v>
      </c>
      <c r="L17" s="67">
        <f>K17*B2</f>
        <v>0</v>
      </c>
      <c r="M17" s="32"/>
    </row>
    <row r="18" spans="1:13" x14ac:dyDescent="0.25">
      <c r="A18" s="34"/>
      <c r="B18" s="25" t="s">
        <v>38</v>
      </c>
      <c r="C18" s="32">
        <v>415</v>
      </c>
      <c r="D18" s="35">
        <v>820614</v>
      </c>
      <c r="E18" s="105">
        <v>14226</v>
      </c>
      <c r="F18" s="105">
        <v>14226</v>
      </c>
      <c r="G18" s="32">
        <f t="shared" si="1"/>
        <v>0</v>
      </c>
      <c r="H18" s="33">
        <v>40</v>
      </c>
      <c r="I18" s="33">
        <f t="shared" si="0"/>
        <v>0</v>
      </c>
      <c r="J18" s="32">
        <f>(I18*J7)-I18</f>
        <v>0</v>
      </c>
      <c r="K18" s="32">
        <f t="shared" si="2"/>
        <v>0</v>
      </c>
      <c r="L18" s="67">
        <f>K18*B2</f>
        <v>0</v>
      </c>
      <c r="M18" s="32"/>
    </row>
    <row r="19" spans="1:13" x14ac:dyDescent="0.25">
      <c r="A19" s="34"/>
      <c r="B19" s="25" t="s">
        <v>39</v>
      </c>
      <c r="C19" s="32">
        <v>428</v>
      </c>
      <c r="D19" s="35">
        <v>820573</v>
      </c>
      <c r="E19" s="105">
        <v>10172</v>
      </c>
      <c r="F19" s="105">
        <v>10172</v>
      </c>
      <c r="G19" s="32">
        <f t="shared" si="1"/>
        <v>0</v>
      </c>
      <c r="H19" s="33">
        <v>40</v>
      </c>
      <c r="I19" s="33">
        <f t="shared" si="0"/>
        <v>0</v>
      </c>
      <c r="J19" s="32">
        <f>(I19*J7)-I19</f>
        <v>0</v>
      </c>
      <c r="K19" s="32">
        <f t="shared" si="2"/>
        <v>0</v>
      </c>
      <c r="L19" s="67">
        <f>K19*B3</f>
        <v>0</v>
      </c>
      <c r="M19" s="32"/>
    </row>
    <row r="20" spans="1:13" x14ac:dyDescent="0.25">
      <c r="A20" s="34"/>
      <c r="B20" s="25" t="s">
        <v>40</v>
      </c>
      <c r="C20" s="32">
        <v>292</v>
      </c>
      <c r="D20" s="35">
        <v>10808904</v>
      </c>
      <c r="E20" s="105">
        <v>11686</v>
      </c>
      <c r="F20" s="105">
        <v>11686</v>
      </c>
      <c r="G20" s="32">
        <f t="shared" si="1"/>
        <v>0</v>
      </c>
      <c r="H20" s="33">
        <v>1</v>
      </c>
      <c r="I20" s="33">
        <f t="shared" si="0"/>
        <v>0</v>
      </c>
      <c r="J20" s="32">
        <f t="shared" ref="J20:J25" si="3">(I20*J8)-I20</f>
        <v>0</v>
      </c>
      <c r="K20" s="32">
        <f t="shared" si="2"/>
        <v>0</v>
      </c>
      <c r="L20" s="67">
        <f>K20*B4</f>
        <v>0</v>
      </c>
      <c r="M20" s="32"/>
    </row>
    <row r="21" spans="1:13" x14ac:dyDescent="0.25">
      <c r="A21" s="34" t="s">
        <v>33</v>
      </c>
      <c r="B21" s="32" t="s">
        <v>41</v>
      </c>
      <c r="C21" s="32">
        <v>573</v>
      </c>
      <c r="D21" s="35">
        <v>945448</v>
      </c>
      <c r="E21" s="37">
        <v>201821</v>
      </c>
      <c r="F21" s="37">
        <v>198037</v>
      </c>
      <c r="G21" s="32">
        <f t="shared" si="1"/>
        <v>3784</v>
      </c>
      <c r="H21" s="33">
        <v>1</v>
      </c>
      <c r="I21" s="33">
        <f t="shared" si="0"/>
        <v>3784</v>
      </c>
      <c r="J21" s="32">
        <v>0</v>
      </c>
      <c r="K21" s="32">
        <f t="shared" si="2"/>
        <v>3784</v>
      </c>
      <c r="L21" s="67">
        <f>K21*B2</f>
        <v>42506.292843198338</v>
      </c>
      <c r="M21" s="32"/>
    </row>
    <row r="22" spans="1:13" x14ac:dyDescent="0.25">
      <c r="A22" s="34" t="s">
        <v>42</v>
      </c>
      <c r="B22" s="32" t="s">
        <v>43</v>
      </c>
      <c r="C22" s="32">
        <v>573</v>
      </c>
      <c r="D22" s="35">
        <v>945448</v>
      </c>
      <c r="E22" s="37">
        <v>637336</v>
      </c>
      <c r="F22" s="37">
        <v>635320</v>
      </c>
      <c r="G22" s="32">
        <f t="shared" si="1"/>
        <v>2016</v>
      </c>
      <c r="H22" s="33">
        <v>1</v>
      </c>
      <c r="I22" s="33">
        <f t="shared" si="0"/>
        <v>2016</v>
      </c>
      <c r="J22" s="32">
        <v>0</v>
      </c>
      <c r="K22" s="32">
        <f t="shared" si="2"/>
        <v>2016</v>
      </c>
      <c r="L22" s="67">
        <f>(K22*B2)</f>
        <v>22646.058766355138</v>
      </c>
      <c r="M22" s="32"/>
    </row>
    <row r="23" spans="1:13" x14ac:dyDescent="0.25">
      <c r="A23" s="34"/>
      <c r="B23" s="32" t="s">
        <v>44</v>
      </c>
      <c r="C23" s="32"/>
      <c r="D23" s="35">
        <v>906068</v>
      </c>
      <c r="E23" s="37">
        <v>407721</v>
      </c>
      <c r="F23" s="37">
        <v>406287</v>
      </c>
      <c r="G23" s="32">
        <f t="shared" si="1"/>
        <v>1434</v>
      </c>
      <c r="H23" s="33">
        <v>1</v>
      </c>
      <c r="I23" s="33">
        <f t="shared" si="0"/>
        <v>1434</v>
      </c>
      <c r="J23" s="32">
        <v>0</v>
      </c>
      <c r="K23" s="32">
        <f t="shared" si="2"/>
        <v>1434</v>
      </c>
      <c r="L23" s="67">
        <f>K23*B2</f>
        <v>16108.357277258567</v>
      </c>
      <c r="M23" s="32"/>
    </row>
    <row r="24" spans="1:13" s="1" customFormat="1" x14ac:dyDescent="0.25">
      <c r="A24" s="38"/>
      <c r="B24" s="39" t="s">
        <v>45</v>
      </c>
      <c r="C24" s="39" t="s">
        <v>46</v>
      </c>
      <c r="D24" s="40">
        <v>8638117</v>
      </c>
      <c r="E24" s="41">
        <v>14708</v>
      </c>
      <c r="F24" s="41">
        <v>14708</v>
      </c>
      <c r="G24" s="39">
        <f t="shared" si="1"/>
        <v>0</v>
      </c>
      <c r="H24" s="42">
        <v>160</v>
      </c>
      <c r="I24" s="42">
        <f t="shared" si="0"/>
        <v>0</v>
      </c>
      <c r="J24" s="70">
        <v>0</v>
      </c>
      <c r="K24" s="39">
        <f>(J24+I24)*0.647</f>
        <v>0</v>
      </c>
      <c r="L24" s="71">
        <f>(K24*B2)</f>
        <v>0</v>
      </c>
      <c r="M24" s="71"/>
    </row>
    <row r="25" spans="1:13" s="1" customFormat="1" x14ac:dyDescent="0.25">
      <c r="A25" s="38"/>
      <c r="B25" s="39" t="s">
        <v>47</v>
      </c>
      <c r="C25" s="39" t="s">
        <v>46</v>
      </c>
      <c r="D25" s="40">
        <v>915199</v>
      </c>
      <c r="E25" s="41">
        <v>176409</v>
      </c>
      <c r="F25" s="41">
        <v>176409</v>
      </c>
      <c r="G25" s="39">
        <f t="shared" si="1"/>
        <v>0</v>
      </c>
      <c r="H25" s="42">
        <v>1</v>
      </c>
      <c r="I25" s="42">
        <f t="shared" si="0"/>
        <v>0</v>
      </c>
      <c r="J25" s="70">
        <f t="shared" si="3"/>
        <v>0</v>
      </c>
      <c r="K25" s="39">
        <f>(J25+I25)*0.647</f>
        <v>0</v>
      </c>
      <c r="L25" s="71">
        <f>(K25*B2)</f>
        <v>0</v>
      </c>
      <c r="M25" s="71"/>
    </row>
    <row r="26" spans="1:13" x14ac:dyDescent="0.25">
      <c r="B26" s="32" t="s">
        <v>48</v>
      </c>
      <c r="C26" s="32" t="s">
        <v>46</v>
      </c>
      <c r="D26" s="43"/>
      <c r="E26" s="25"/>
      <c r="F26" s="25"/>
      <c r="G26" s="106"/>
      <c r="H26" s="32"/>
      <c r="I26" s="32"/>
      <c r="J26" s="32"/>
      <c r="K26" s="32"/>
      <c r="L26" s="67">
        <f>B5*J7</f>
        <v>0</v>
      </c>
    </row>
    <row r="27" spans="1:13" ht="15.75" thickBot="1" x14ac:dyDescent="0.3">
      <c r="B27" s="32" t="s">
        <v>59</v>
      </c>
      <c r="C27" s="32"/>
      <c r="D27" s="43"/>
      <c r="E27" s="25">
        <v>15092</v>
      </c>
      <c r="F27" s="25">
        <v>14895</v>
      </c>
      <c r="G27" s="106">
        <f t="shared" ref="G27" si="4">E27-F27</f>
        <v>197</v>
      </c>
      <c r="H27" s="32">
        <v>1</v>
      </c>
      <c r="I27" s="33">
        <f>H27*G27</f>
        <v>197</v>
      </c>
      <c r="J27" s="32"/>
      <c r="K27" s="32"/>
      <c r="L27" s="67"/>
    </row>
    <row r="28" spans="1:13" ht="15.75" thickBot="1" x14ac:dyDescent="0.3">
      <c r="B28" s="44" t="s">
        <v>49</v>
      </c>
      <c r="C28" s="45"/>
      <c r="D28" s="46"/>
      <c r="E28" s="47"/>
      <c r="F28" s="47"/>
      <c r="G28" s="45"/>
      <c r="H28" s="45"/>
      <c r="I28" s="72"/>
      <c r="J28" s="45">
        <f>J6*J7</f>
        <v>0</v>
      </c>
      <c r="K28" s="73">
        <f>J28+I28</f>
        <v>0</v>
      </c>
      <c r="L28" s="74"/>
      <c r="M28" s="75"/>
    </row>
    <row r="29" spans="1:13" ht="15.75" thickBot="1" x14ac:dyDescent="0.3">
      <c r="A29" s="48" t="s">
        <v>50</v>
      </c>
      <c r="B29" s="49" t="s">
        <v>48</v>
      </c>
      <c r="C29" s="49" t="s">
        <v>46</v>
      </c>
      <c r="D29" s="50"/>
      <c r="E29" s="51"/>
      <c r="F29" s="51"/>
      <c r="G29" s="49"/>
      <c r="H29" s="49"/>
      <c r="I29" s="76"/>
      <c r="J29" s="49">
        <f>G5</f>
        <v>11976.181462104691</v>
      </c>
      <c r="K29" s="77">
        <f>F5</f>
        <v>9220.4495298514266</v>
      </c>
      <c r="L29" s="78">
        <f>(K29*B2)+J29</f>
        <v>115551.00383572921</v>
      </c>
      <c r="M29" s="79"/>
    </row>
    <row r="31" spans="1:13" x14ac:dyDescent="0.25">
      <c r="B31" s="109" t="s">
        <v>51</v>
      </c>
      <c r="C31" s="109"/>
      <c r="D31" s="24"/>
    </row>
    <row r="32" spans="1:13" x14ac:dyDescent="0.25">
      <c r="B32" s="114" t="s">
        <v>20</v>
      </c>
      <c r="C32" s="114" t="s">
        <v>21</v>
      </c>
      <c r="D32" s="116" t="s">
        <v>22</v>
      </c>
      <c r="E32" s="111" t="s">
        <v>23</v>
      </c>
      <c r="F32" s="112"/>
      <c r="G32" s="114" t="s">
        <v>24</v>
      </c>
      <c r="H32" s="116" t="s">
        <v>25</v>
      </c>
      <c r="I32" s="24"/>
    </row>
    <row r="33" spans="2:13" ht="30" x14ac:dyDescent="0.25">
      <c r="B33" s="113"/>
      <c r="C33" s="113"/>
      <c r="D33" s="117"/>
      <c r="E33" s="29" t="s">
        <v>70</v>
      </c>
      <c r="F33" s="29" t="s">
        <v>69</v>
      </c>
      <c r="G33" s="113"/>
      <c r="H33" s="117"/>
      <c r="I33" s="28" t="s">
        <v>52</v>
      </c>
      <c r="J33" s="65"/>
      <c r="K33" s="66"/>
      <c r="L33" s="67" t="s">
        <v>54</v>
      </c>
      <c r="M33" s="68"/>
    </row>
    <row r="34" spans="2:13" x14ac:dyDescent="0.25">
      <c r="B34" s="25" t="s">
        <v>13</v>
      </c>
      <c r="C34" s="32"/>
      <c r="D34" s="35">
        <v>821430</v>
      </c>
      <c r="E34" s="25">
        <v>710.44</v>
      </c>
      <c r="F34" s="25">
        <v>595.41</v>
      </c>
      <c r="G34" s="32">
        <f>E34-F34</f>
        <v>115.03000000000009</v>
      </c>
      <c r="H34" s="33">
        <v>80</v>
      </c>
      <c r="I34" s="33">
        <f>H34*G34</f>
        <v>9202.4000000000069</v>
      </c>
      <c r="J34" s="32"/>
      <c r="K34" s="32"/>
      <c r="L34" s="67">
        <f>J34*B2</f>
        <v>0</v>
      </c>
      <c r="M34" s="32"/>
    </row>
    <row r="35" spans="2:13" ht="15.75" thickBot="1" x14ac:dyDescent="0.3">
      <c r="B35" s="52" t="s">
        <v>48</v>
      </c>
      <c r="C35" s="52" t="s">
        <v>46</v>
      </c>
      <c r="D35" s="53"/>
      <c r="E35" s="54"/>
      <c r="F35" s="54"/>
      <c r="G35" s="52"/>
      <c r="H35" s="52"/>
      <c r="I35" s="52"/>
      <c r="J35" s="52"/>
      <c r="K35" s="52"/>
      <c r="L35" s="80"/>
      <c r="M35" s="81"/>
    </row>
    <row r="36" spans="2:13" ht="15.75" thickBot="1" x14ac:dyDescent="0.3">
      <c r="B36" s="55" t="s">
        <v>49</v>
      </c>
      <c r="C36" s="56"/>
      <c r="D36" s="57"/>
      <c r="E36" s="58"/>
      <c r="F36" s="58"/>
      <c r="G36" s="56"/>
      <c r="H36" s="56"/>
      <c r="I36" s="82">
        <f>SUM(I34:I35)</f>
        <v>9202.4000000000069</v>
      </c>
      <c r="J36" s="56"/>
      <c r="K36" s="83">
        <f>SUM(K34:K35)</f>
        <v>0</v>
      </c>
      <c r="L36" s="84"/>
      <c r="M36" s="85"/>
    </row>
    <row r="37" spans="2:13" ht="15.75" thickBot="1" x14ac:dyDescent="0.3">
      <c r="B37" s="48" t="s">
        <v>50</v>
      </c>
      <c r="C37" s="59"/>
      <c r="D37" s="60"/>
      <c r="E37" s="61"/>
      <c r="F37" s="61"/>
      <c r="G37" s="59"/>
      <c r="H37" s="59"/>
      <c r="I37" s="59"/>
      <c r="J37" s="59"/>
      <c r="K37" s="59"/>
      <c r="L37" s="86">
        <f>H4</f>
        <v>125816.00616427079</v>
      </c>
      <c r="M37" t="s">
        <v>63</v>
      </c>
    </row>
    <row r="39" spans="2:13" x14ac:dyDescent="0.25">
      <c r="I39" s="87"/>
      <c r="K39" s="64"/>
      <c r="L39" s="88"/>
    </row>
    <row r="40" spans="2:13" x14ac:dyDescent="0.25">
      <c r="L40" s="88"/>
    </row>
  </sheetData>
  <mergeCells count="14">
    <mergeCell ref="D9:E9"/>
    <mergeCell ref="B11:B12"/>
    <mergeCell ref="C11:C12"/>
    <mergeCell ref="D11:D12"/>
    <mergeCell ref="E11:F11"/>
    <mergeCell ref="H11:H12"/>
    <mergeCell ref="B31:C31"/>
    <mergeCell ref="B32:B33"/>
    <mergeCell ref="C32:C33"/>
    <mergeCell ref="D32:D33"/>
    <mergeCell ref="E32:F32"/>
    <mergeCell ref="G32:G33"/>
    <mergeCell ref="H32:H33"/>
    <mergeCell ref="G11:G12"/>
  </mergeCells>
  <pageMargins left="0.7" right="0.7" top="0.75" bottom="0.75" header="0.3" footer="0.3"/>
  <pageSetup paperSize="9" orientation="portrait" verticalDpi="36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zoomScaleNormal="100" workbookViewId="0">
      <selection activeCell="C3" sqref="C3"/>
    </sheetView>
  </sheetViews>
  <sheetFormatPr defaultColWidth="9" defaultRowHeight="15" x14ac:dyDescent="0.25"/>
  <cols>
    <col min="1" max="1" width="28.5703125" customWidth="1"/>
    <col min="2" max="2" width="18.140625" customWidth="1"/>
    <col min="3" max="4" width="15.85546875" customWidth="1"/>
    <col min="5" max="5" width="15.140625" customWidth="1"/>
    <col min="6" max="6" width="16" customWidth="1"/>
    <col min="7" max="7" width="14.7109375" customWidth="1"/>
    <col min="8" max="8" width="21.42578125" customWidth="1"/>
    <col min="9" max="9" width="14.85546875" customWidth="1"/>
    <col min="10" max="10" width="16" customWidth="1"/>
    <col min="11" max="11" width="12.140625" customWidth="1"/>
    <col min="12" max="12" width="12.28515625" style="2" customWidth="1"/>
    <col min="13" max="13" width="15" customWidth="1"/>
    <col min="16" max="17" width="11.42578125" customWidth="1"/>
    <col min="21" max="21" width="7.5703125" customWidth="1"/>
    <col min="24" max="24" width="13.28515625" customWidth="1"/>
    <col min="26" max="26" width="25.85546875" customWidth="1"/>
    <col min="28" max="29" width="10.85546875" customWidth="1"/>
    <col min="30" max="30" width="12.5703125" customWidth="1"/>
  </cols>
  <sheetData>
    <row r="1" spans="1:13" ht="46.5" customHeight="1" x14ac:dyDescent="0.25">
      <c r="A1" s="3" t="s">
        <v>0</v>
      </c>
      <c r="B1" s="101">
        <v>3253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/>
      <c r="K1" s="5" t="s">
        <v>7</v>
      </c>
    </row>
    <row r="2" spans="1:13" x14ac:dyDescent="0.25">
      <c r="A2" s="6" t="s">
        <v>8</v>
      </c>
      <c r="B2" s="107">
        <f>B4/B3</f>
        <v>9.1687806155861171</v>
      </c>
      <c r="C2" s="8"/>
      <c r="D2" s="8"/>
      <c r="E2" s="8"/>
      <c r="F2" s="8"/>
      <c r="G2" s="8"/>
      <c r="H2" s="8"/>
      <c r="I2" s="8"/>
      <c r="J2" s="8" t="s">
        <v>56</v>
      </c>
      <c r="K2" s="8">
        <f>Жовтень!K5</f>
        <v>62059.199999999997</v>
      </c>
    </row>
    <row r="3" spans="1:13" x14ac:dyDescent="0.25">
      <c r="A3" s="9" t="s">
        <v>10</v>
      </c>
      <c r="B3" s="103">
        <v>15270</v>
      </c>
      <c r="C3" s="102">
        <v>15270</v>
      </c>
      <c r="D3" s="8">
        <f>I14+I13</f>
        <v>14119.999999999709</v>
      </c>
      <c r="E3" s="8"/>
      <c r="F3" s="8"/>
      <c r="G3" s="8"/>
      <c r="H3" s="8"/>
      <c r="I3" s="8"/>
      <c r="J3" s="8" t="s">
        <v>11</v>
      </c>
      <c r="K3" s="8">
        <f>I34*3</f>
        <v>22377.599999999977</v>
      </c>
    </row>
    <row r="4" spans="1:13" x14ac:dyDescent="0.25">
      <c r="A4" s="6" t="s">
        <v>12</v>
      </c>
      <c r="B4" s="100">
        <v>140007.28</v>
      </c>
      <c r="C4" s="8" t="s">
        <v>13</v>
      </c>
      <c r="D4" s="8">
        <f>I34</f>
        <v>7459.1999999999916</v>
      </c>
      <c r="E4" s="8">
        <f>D4/D3*100</f>
        <v>52.827195467423124</v>
      </c>
      <c r="F4" s="8">
        <f>E4*C3/100</f>
        <v>8066.712747875511</v>
      </c>
      <c r="G4" s="8">
        <f>B5*E4/100</f>
        <v>9347.3126413599548</v>
      </c>
      <c r="H4" s="13">
        <f>F4*B2+G4</f>
        <v>83309.232115582359</v>
      </c>
      <c r="I4" s="62"/>
      <c r="J4" s="8"/>
      <c r="K4" s="8">
        <f>K2-K3</f>
        <v>39681.60000000002</v>
      </c>
    </row>
    <row r="5" spans="1:13" ht="15.75" thickBot="1" x14ac:dyDescent="0.3">
      <c r="A5" s="14" t="s">
        <v>14</v>
      </c>
      <c r="B5" s="15">
        <f>15650.78+2043.35</f>
        <v>17694.13</v>
      </c>
      <c r="C5" s="8" t="s">
        <v>15</v>
      </c>
      <c r="D5" s="8">
        <f>D3-D4</f>
        <v>6660.7999999997173</v>
      </c>
      <c r="E5" s="8">
        <f>D5/D3*100</f>
        <v>47.172804532576876</v>
      </c>
      <c r="F5" s="8">
        <f>E5*C3/100</f>
        <v>7203.287252124489</v>
      </c>
      <c r="G5" s="8">
        <f>B5*E5/100</f>
        <v>8346.8173586400462</v>
      </c>
      <c r="H5" s="13">
        <f>F5*B2+G5</f>
        <v>74392.177884417659</v>
      </c>
      <c r="I5" s="8"/>
      <c r="J5" s="8" t="s">
        <v>16</v>
      </c>
      <c r="K5" s="63">
        <f>K4+L5</f>
        <v>79881.60000000002</v>
      </c>
      <c r="L5" s="2">
        <v>40200</v>
      </c>
      <c r="M5" t="s">
        <v>57</v>
      </c>
    </row>
    <row r="6" spans="1:13" ht="15.75" thickBot="1" x14ac:dyDescent="0.3">
      <c r="A6" s="16" t="s">
        <v>17</v>
      </c>
      <c r="B6" s="99">
        <f>SUM(B4:B5)</f>
        <v>157701.41</v>
      </c>
    </row>
    <row r="7" spans="1:13" ht="15.75" thickBot="1" x14ac:dyDescent="0.3">
      <c r="A7" s="18" t="s">
        <v>18</v>
      </c>
      <c r="B7" s="99">
        <f>SUM(B6)</f>
        <v>157701.41</v>
      </c>
      <c r="G7" s="104"/>
      <c r="H7" s="20">
        <f>SUM(H4:H6)</f>
        <v>157701.41000000003</v>
      </c>
      <c r="K7" s="64"/>
    </row>
    <row r="8" spans="1:13" ht="15.75" thickBot="1" x14ac:dyDescent="0.3">
      <c r="A8" s="18" t="s">
        <v>19</v>
      </c>
      <c r="B8" s="21"/>
    </row>
    <row r="9" spans="1:13" x14ac:dyDescent="0.25">
      <c r="A9" s="22"/>
      <c r="B9" s="23"/>
      <c r="C9" s="24"/>
      <c r="D9" s="109"/>
      <c r="E9" s="109"/>
      <c r="F9" s="24"/>
    </row>
    <row r="10" spans="1:13" x14ac:dyDescent="0.25">
      <c r="A10" s="25"/>
      <c r="B10" s="26"/>
    </row>
    <row r="11" spans="1:13" ht="15" customHeight="1" x14ac:dyDescent="0.25">
      <c r="B11" s="113" t="s">
        <v>20</v>
      </c>
      <c r="C11" s="110" t="s">
        <v>21</v>
      </c>
      <c r="D11" s="115" t="s">
        <v>22</v>
      </c>
      <c r="E11" s="110" t="s">
        <v>23</v>
      </c>
      <c r="F11" s="110"/>
      <c r="G11" s="110" t="s">
        <v>24</v>
      </c>
      <c r="H11" s="115" t="s">
        <v>25</v>
      </c>
      <c r="I11" s="24"/>
    </row>
    <row r="12" spans="1:13" ht="47.25" customHeight="1" x14ac:dyDescent="0.25">
      <c r="B12" s="110"/>
      <c r="C12" s="110"/>
      <c r="D12" s="115"/>
      <c r="E12" s="29" t="s">
        <v>71</v>
      </c>
      <c r="F12" s="29" t="s">
        <v>70</v>
      </c>
      <c r="G12" s="110"/>
      <c r="H12" s="115"/>
      <c r="I12" s="28" t="s">
        <v>28</v>
      </c>
      <c r="J12" s="65" t="s">
        <v>29</v>
      </c>
      <c r="K12" s="66" t="s">
        <v>30</v>
      </c>
      <c r="L12" s="67"/>
      <c r="M12" s="68"/>
    </row>
    <row r="13" spans="1:13" ht="47.25" customHeight="1" x14ac:dyDescent="0.25">
      <c r="B13" s="27" t="s">
        <v>31</v>
      </c>
      <c r="C13" s="27"/>
      <c r="D13" s="28"/>
      <c r="E13" s="31">
        <v>25540.37</v>
      </c>
      <c r="F13" s="31">
        <v>25540.37</v>
      </c>
      <c r="G13" s="32">
        <f>E13-F13</f>
        <v>0</v>
      </c>
      <c r="H13" s="33">
        <v>200</v>
      </c>
      <c r="I13" s="33">
        <f>H13*G13</f>
        <v>0</v>
      </c>
      <c r="J13" s="65"/>
      <c r="K13" s="66"/>
      <c r="L13" s="67"/>
      <c r="M13" s="68"/>
    </row>
    <row r="14" spans="1:13" ht="47.25" customHeight="1" x14ac:dyDescent="0.25">
      <c r="B14" s="27" t="s">
        <v>32</v>
      </c>
      <c r="C14" s="27"/>
      <c r="D14" s="28"/>
      <c r="E14" s="31">
        <v>10425.969999999999</v>
      </c>
      <c r="F14" s="31">
        <v>10355.370000000001</v>
      </c>
      <c r="G14" s="32">
        <f>E14-F14</f>
        <v>70.599999999998545</v>
      </c>
      <c r="H14" s="33">
        <v>200</v>
      </c>
      <c r="I14" s="33">
        <f>H14*G14</f>
        <v>14119.999999999709</v>
      </c>
      <c r="J14" s="65"/>
      <c r="K14" s="66"/>
      <c r="L14" s="67"/>
      <c r="M14" s="68"/>
    </row>
    <row r="15" spans="1:13" x14ac:dyDescent="0.25">
      <c r="A15" s="34" t="s">
        <v>33</v>
      </c>
      <c r="B15" s="25" t="s">
        <v>34</v>
      </c>
      <c r="C15" s="32">
        <v>851</v>
      </c>
      <c r="D15" s="35">
        <v>821430</v>
      </c>
      <c r="E15" s="105">
        <v>12077</v>
      </c>
      <c r="F15" s="105">
        <v>12077</v>
      </c>
      <c r="G15" s="32">
        <f>E15-F15</f>
        <v>0</v>
      </c>
      <c r="H15" s="33">
        <v>30</v>
      </c>
      <c r="I15" s="33">
        <f t="shared" ref="I15:I25" si="0">H15*G15</f>
        <v>0</v>
      </c>
      <c r="J15" s="32">
        <f>(I15*J7)-I15</f>
        <v>0</v>
      </c>
      <c r="K15" s="32">
        <f>J15+I15</f>
        <v>0</v>
      </c>
      <c r="L15" s="67">
        <f>K15*B2</f>
        <v>0</v>
      </c>
      <c r="M15" s="32"/>
    </row>
    <row r="16" spans="1:13" x14ac:dyDescent="0.25">
      <c r="A16" s="34" t="s">
        <v>35</v>
      </c>
      <c r="B16" s="25" t="s">
        <v>36</v>
      </c>
      <c r="C16" s="32">
        <v>839</v>
      </c>
      <c r="D16" s="35">
        <v>821436</v>
      </c>
      <c r="E16" s="105">
        <v>14163</v>
      </c>
      <c r="F16" s="105">
        <v>14163</v>
      </c>
      <c r="G16" s="32">
        <f t="shared" ref="G16:G25" si="1">E16-F16</f>
        <v>0</v>
      </c>
      <c r="H16" s="33">
        <v>30</v>
      </c>
      <c r="I16" s="33">
        <f t="shared" si="0"/>
        <v>0</v>
      </c>
      <c r="J16" s="32">
        <f>(I16*J7)-I16</f>
        <v>0</v>
      </c>
      <c r="K16" s="32">
        <f t="shared" ref="K16:K23" si="2">J16+I16</f>
        <v>0</v>
      </c>
      <c r="L16" s="67">
        <f>K16*B2</f>
        <v>0</v>
      </c>
      <c r="M16" s="32"/>
    </row>
    <row r="17" spans="1:13" x14ac:dyDescent="0.25">
      <c r="A17" s="34"/>
      <c r="B17" s="25" t="s">
        <v>37</v>
      </c>
      <c r="C17" s="32">
        <v>428</v>
      </c>
      <c r="D17" s="35">
        <v>11829942</v>
      </c>
      <c r="E17" s="105">
        <v>2213</v>
      </c>
      <c r="F17" s="105">
        <v>2213</v>
      </c>
      <c r="G17" s="32">
        <f t="shared" si="1"/>
        <v>0</v>
      </c>
      <c r="H17" s="33">
        <v>40</v>
      </c>
      <c r="I17" s="33">
        <f t="shared" si="0"/>
        <v>0</v>
      </c>
      <c r="J17" s="32">
        <f>(I17*J7)-I17</f>
        <v>0</v>
      </c>
      <c r="K17" s="32">
        <f t="shared" si="2"/>
        <v>0</v>
      </c>
      <c r="L17" s="67">
        <f>K17*B2</f>
        <v>0</v>
      </c>
      <c r="M17" s="32"/>
    </row>
    <row r="18" spans="1:13" x14ac:dyDescent="0.25">
      <c r="A18" s="34"/>
      <c r="B18" s="25" t="s">
        <v>38</v>
      </c>
      <c r="C18" s="32">
        <v>415</v>
      </c>
      <c r="D18" s="35">
        <v>820614</v>
      </c>
      <c r="E18" s="105">
        <v>14229</v>
      </c>
      <c r="F18" s="105">
        <v>14226</v>
      </c>
      <c r="G18" s="32">
        <f t="shared" si="1"/>
        <v>3</v>
      </c>
      <c r="H18" s="33">
        <v>40</v>
      </c>
      <c r="I18" s="33">
        <f t="shared" si="0"/>
        <v>120</v>
      </c>
      <c r="J18" s="32">
        <f>(I18*J7)-I18</f>
        <v>-120</v>
      </c>
      <c r="K18" s="32">
        <f t="shared" si="2"/>
        <v>0</v>
      </c>
      <c r="L18" s="67">
        <f>K18*B2</f>
        <v>0</v>
      </c>
      <c r="M18" s="32"/>
    </row>
    <row r="19" spans="1:13" x14ac:dyDescent="0.25">
      <c r="A19" s="34"/>
      <c r="B19" s="25" t="s">
        <v>39</v>
      </c>
      <c r="C19" s="32">
        <v>428</v>
      </c>
      <c r="D19" s="35">
        <v>820573</v>
      </c>
      <c r="E19" s="105">
        <v>10172</v>
      </c>
      <c r="F19" s="105">
        <v>10172</v>
      </c>
      <c r="G19" s="32">
        <f t="shared" si="1"/>
        <v>0</v>
      </c>
      <c r="H19" s="33">
        <v>40</v>
      </c>
      <c r="I19" s="33">
        <f t="shared" si="0"/>
        <v>0</v>
      </c>
      <c r="J19" s="32">
        <f>(I19*J7)-I19</f>
        <v>0</v>
      </c>
      <c r="K19" s="32">
        <f t="shared" si="2"/>
        <v>0</v>
      </c>
      <c r="L19" s="67">
        <f>K19*B3</f>
        <v>0</v>
      </c>
      <c r="M19" s="32"/>
    </row>
    <row r="20" spans="1:13" x14ac:dyDescent="0.25">
      <c r="A20" s="34"/>
      <c r="B20" s="25" t="s">
        <v>40</v>
      </c>
      <c r="C20" s="32">
        <v>292</v>
      </c>
      <c r="D20" s="35">
        <v>10808904</v>
      </c>
      <c r="E20" s="105">
        <v>11729</v>
      </c>
      <c r="F20" s="105">
        <v>11686</v>
      </c>
      <c r="G20" s="32">
        <f t="shared" si="1"/>
        <v>43</v>
      </c>
      <c r="H20" s="33">
        <v>1</v>
      </c>
      <c r="I20" s="33">
        <f t="shared" si="0"/>
        <v>43</v>
      </c>
      <c r="J20" s="32">
        <f t="shared" ref="J20:J25" si="3">(I20*J8)-I20</f>
        <v>-43</v>
      </c>
      <c r="K20" s="32">
        <f t="shared" si="2"/>
        <v>0</v>
      </c>
      <c r="L20" s="67">
        <f>K20*B4</f>
        <v>0</v>
      </c>
      <c r="M20" s="32"/>
    </row>
    <row r="21" spans="1:13" x14ac:dyDescent="0.25">
      <c r="A21" s="34" t="s">
        <v>33</v>
      </c>
      <c r="B21" s="32" t="s">
        <v>41</v>
      </c>
      <c r="C21" s="32">
        <v>573</v>
      </c>
      <c r="D21" s="35">
        <v>945448</v>
      </c>
      <c r="E21" s="37">
        <v>205002</v>
      </c>
      <c r="F21" s="37">
        <v>201821</v>
      </c>
      <c r="G21" s="32">
        <f t="shared" si="1"/>
        <v>3181</v>
      </c>
      <c r="H21" s="33">
        <v>1</v>
      </c>
      <c r="I21" s="33">
        <f t="shared" si="0"/>
        <v>3181</v>
      </c>
      <c r="J21" s="32">
        <v>0</v>
      </c>
      <c r="K21" s="32">
        <f t="shared" si="2"/>
        <v>3181</v>
      </c>
      <c r="L21" s="67">
        <f>K21*B2</f>
        <v>29165.891138179439</v>
      </c>
      <c r="M21" s="32"/>
    </row>
    <row r="22" spans="1:13" x14ac:dyDescent="0.25">
      <c r="A22" s="34" t="s">
        <v>42</v>
      </c>
      <c r="B22" s="32" t="s">
        <v>43</v>
      </c>
      <c r="C22" s="32">
        <v>573</v>
      </c>
      <c r="D22" s="35">
        <v>945448</v>
      </c>
      <c r="E22" s="37">
        <v>638820</v>
      </c>
      <c r="F22" s="37">
        <v>637336</v>
      </c>
      <c r="G22" s="32">
        <f t="shared" si="1"/>
        <v>1484</v>
      </c>
      <c r="H22" s="33">
        <v>1</v>
      </c>
      <c r="I22" s="33">
        <f t="shared" si="0"/>
        <v>1484</v>
      </c>
      <c r="J22" s="32">
        <v>0</v>
      </c>
      <c r="K22" s="32">
        <f t="shared" si="2"/>
        <v>1484</v>
      </c>
      <c r="L22" s="67">
        <f>(K22*B2)</f>
        <v>13606.470433529797</v>
      </c>
      <c r="M22" s="32"/>
    </row>
    <row r="23" spans="1:13" x14ac:dyDescent="0.25">
      <c r="A23" s="34"/>
      <c r="B23" s="32" t="s">
        <v>44</v>
      </c>
      <c r="C23" s="32"/>
      <c r="D23" s="35">
        <v>906068</v>
      </c>
      <c r="E23" s="37">
        <v>408850</v>
      </c>
      <c r="F23" s="37">
        <v>407721</v>
      </c>
      <c r="G23" s="32">
        <f t="shared" si="1"/>
        <v>1129</v>
      </c>
      <c r="H23" s="33">
        <v>1</v>
      </c>
      <c r="I23" s="33">
        <f t="shared" si="0"/>
        <v>1129</v>
      </c>
      <c r="J23" s="32">
        <v>0</v>
      </c>
      <c r="K23" s="32">
        <f t="shared" si="2"/>
        <v>1129</v>
      </c>
      <c r="L23" s="67">
        <f>K23*B2</f>
        <v>10351.553314996727</v>
      </c>
      <c r="M23" s="32"/>
    </row>
    <row r="24" spans="1:13" s="1" customFormat="1" x14ac:dyDescent="0.25">
      <c r="A24" s="38"/>
      <c r="B24" s="39" t="s">
        <v>45</v>
      </c>
      <c r="C24" s="39" t="s">
        <v>46</v>
      </c>
      <c r="D24" s="40">
        <v>8638117</v>
      </c>
      <c r="E24" s="41">
        <v>14709</v>
      </c>
      <c r="F24" s="41">
        <v>14708</v>
      </c>
      <c r="G24" s="39">
        <f t="shared" si="1"/>
        <v>1</v>
      </c>
      <c r="H24" s="42">
        <v>160</v>
      </c>
      <c r="I24" s="42">
        <f t="shared" si="0"/>
        <v>160</v>
      </c>
      <c r="J24" s="70">
        <v>0</v>
      </c>
      <c r="K24" s="39">
        <f>(J24+I24)*0.647</f>
        <v>103.52000000000001</v>
      </c>
      <c r="L24" s="71">
        <f>(K24*B2)</f>
        <v>949.15216932547492</v>
      </c>
      <c r="M24" s="71"/>
    </row>
    <row r="25" spans="1:13" s="1" customFormat="1" x14ac:dyDescent="0.25">
      <c r="A25" s="38"/>
      <c r="B25" s="39" t="s">
        <v>47</v>
      </c>
      <c r="C25" s="39" t="s">
        <v>46</v>
      </c>
      <c r="D25" s="40">
        <v>915199</v>
      </c>
      <c r="E25" s="41">
        <v>176439</v>
      </c>
      <c r="F25" s="41">
        <v>176409</v>
      </c>
      <c r="G25" s="39">
        <f t="shared" si="1"/>
        <v>30</v>
      </c>
      <c r="H25" s="42">
        <v>1</v>
      </c>
      <c r="I25" s="42">
        <f t="shared" si="0"/>
        <v>30</v>
      </c>
      <c r="J25" s="70">
        <f t="shared" si="3"/>
        <v>-30</v>
      </c>
      <c r="K25" s="39">
        <f>(J25+I25)*0.647</f>
        <v>0</v>
      </c>
      <c r="L25" s="71">
        <f>(K25*B2)</f>
        <v>0</v>
      </c>
      <c r="M25" s="71"/>
    </row>
    <row r="26" spans="1:13" x14ac:dyDescent="0.25">
      <c r="B26" s="32" t="s">
        <v>48</v>
      </c>
      <c r="C26" s="32" t="s">
        <v>46</v>
      </c>
      <c r="D26" s="43"/>
      <c r="E26" s="25"/>
      <c r="F26" s="25"/>
      <c r="G26" s="106"/>
      <c r="H26" s="32"/>
      <c r="I26" s="32"/>
      <c r="J26" s="32"/>
      <c r="K26" s="32"/>
      <c r="L26" s="67">
        <f>B5*J7</f>
        <v>0</v>
      </c>
    </row>
    <row r="27" spans="1:13" ht="15.75" thickBot="1" x14ac:dyDescent="0.3">
      <c r="B27" s="32" t="s">
        <v>59</v>
      </c>
      <c r="C27" s="32"/>
      <c r="D27" s="43"/>
      <c r="E27" s="25">
        <v>15179</v>
      </c>
      <c r="F27" s="25">
        <v>14895</v>
      </c>
      <c r="G27" s="106">
        <f t="shared" ref="G27" si="4">E27-F27</f>
        <v>284</v>
      </c>
      <c r="H27" s="32">
        <v>1</v>
      </c>
      <c r="I27" s="33">
        <f>H27*G27</f>
        <v>284</v>
      </c>
      <c r="J27" s="32"/>
      <c r="K27" s="32"/>
      <c r="L27" s="67"/>
    </row>
    <row r="28" spans="1:13" ht="15.75" thickBot="1" x14ac:dyDescent="0.3">
      <c r="B28" s="44" t="s">
        <v>49</v>
      </c>
      <c r="C28" s="45"/>
      <c r="D28" s="46"/>
      <c r="E28" s="47"/>
      <c r="F28" s="47"/>
      <c r="G28" s="45"/>
      <c r="H28" s="45"/>
      <c r="I28" s="72"/>
      <c r="J28" s="45">
        <f>J6*J7</f>
        <v>0</v>
      </c>
      <c r="K28" s="73">
        <f>J28+I28</f>
        <v>0</v>
      </c>
      <c r="L28" s="74"/>
      <c r="M28" s="75"/>
    </row>
    <row r="29" spans="1:13" ht="15.75" thickBot="1" x14ac:dyDescent="0.3">
      <c r="A29" s="48" t="s">
        <v>50</v>
      </c>
      <c r="B29" s="49" t="s">
        <v>48</v>
      </c>
      <c r="C29" s="49" t="s">
        <v>46</v>
      </c>
      <c r="D29" s="50"/>
      <c r="E29" s="51"/>
      <c r="F29" s="51"/>
      <c r="G29" s="49"/>
      <c r="H29" s="49"/>
      <c r="I29" s="76"/>
      <c r="J29" s="49">
        <f>G5</f>
        <v>8346.8173586400462</v>
      </c>
      <c r="K29" s="77">
        <f>F5</f>
        <v>7203.287252124489</v>
      </c>
      <c r="L29" s="78">
        <f>(K29*B2)+J29</f>
        <v>74392.177884417659</v>
      </c>
      <c r="M29" s="79"/>
    </row>
    <row r="31" spans="1:13" x14ac:dyDescent="0.25">
      <c r="B31" s="109" t="s">
        <v>51</v>
      </c>
      <c r="C31" s="109"/>
      <c r="D31" s="24"/>
    </row>
    <row r="32" spans="1:13" x14ac:dyDescent="0.25">
      <c r="B32" s="114" t="s">
        <v>20</v>
      </c>
      <c r="C32" s="114" t="s">
        <v>21</v>
      </c>
      <c r="D32" s="116" t="s">
        <v>22</v>
      </c>
      <c r="E32" s="111" t="s">
        <v>23</v>
      </c>
      <c r="F32" s="112"/>
      <c r="G32" s="114" t="s">
        <v>24</v>
      </c>
      <c r="H32" s="116" t="s">
        <v>25</v>
      </c>
      <c r="I32" s="24"/>
    </row>
    <row r="33" spans="2:13" ht="30" x14ac:dyDescent="0.25">
      <c r="B33" s="113"/>
      <c r="C33" s="113"/>
      <c r="D33" s="117"/>
      <c r="E33" s="29" t="s">
        <v>71</v>
      </c>
      <c r="F33" s="29" t="s">
        <v>70</v>
      </c>
      <c r="G33" s="113"/>
      <c r="H33" s="117"/>
      <c r="I33" s="28" t="s">
        <v>52</v>
      </c>
      <c r="J33" s="65"/>
      <c r="K33" s="66"/>
      <c r="L33" s="67" t="s">
        <v>54</v>
      </c>
      <c r="M33" s="68"/>
    </row>
    <row r="34" spans="2:13" x14ac:dyDescent="0.25">
      <c r="B34" s="25" t="s">
        <v>13</v>
      </c>
      <c r="C34" s="32"/>
      <c r="D34" s="35">
        <v>821430</v>
      </c>
      <c r="E34" s="25">
        <v>803.68</v>
      </c>
      <c r="F34" s="25">
        <v>710.44</v>
      </c>
      <c r="G34" s="32">
        <f>E34-F34</f>
        <v>93.239999999999895</v>
      </c>
      <c r="H34" s="33">
        <v>80</v>
      </c>
      <c r="I34" s="33">
        <f>H34*G34</f>
        <v>7459.1999999999916</v>
      </c>
      <c r="J34" s="32"/>
      <c r="K34" s="32"/>
      <c r="L34" s="67">
        <f>J34*B2</f>
        <v>0</v>
      </c>
      <c r="M34" s="32"/>
    </row>
    <row r="35" spans="2:13" ht="15.75" thickBot="1" x14ac:dyDescent="0.3">
      <c r="B35" s="52" t="s">
        <v>48</v>
      </c>
      <c r="C35" s="52" t="s">
        <v>46</v>
      </c>
      <c r="D35" s="53"/>
      <c r="E35" s="54"/>
      <c r="F35" s="54"/>
      <c r="G35" s="52"/>
      <c r="H35" s="52"/>
      <c r="I35" s="52"/>
      <c r="J35" s="52"/>
      <c r="K35" s="52"/>
      <c r="L35" s="80"/>
      <c r="M35" s="81"/>
    </row>
    <row r="36" spans="2:13" ht="15.75" thickBot="1" x14ac:dyDescent="0.3">
      <c r="B36" s="55" t="s">
        <v>49</v>
      </c>
      <c r="C36" s="56"/>
      <c r="D36" s="57"/>
      <c r="E36" s="58"/>
      <c r="F36" s="58"/>
      <c r="G36" s="56"/>
      <c r="H36" s="56"/>
      <c r="I36" s="82">
        <f>SUM(I34:I35)</f>
        <v>7459.1999999999916</v>
      </c>
      <c r="J36" s="56"/>
      <c r="K36" s="83">
        <f>SUM(K34:K35)</f>
        <v>0</v>
      </c>
      <c r="L36" s="84"/>
      <c r="M36" s="85"/>
    </row>
    <row r="37" spans="2:13" ht="15.75" thickBot="1" x14ac:dyDescent="0.3">
      <c r="B37" s="48" t="s">
        <v>50</v>
      </c>
      <c r="C37" s="59"/>
      <c r="D37" s="60"/>
      <c r="E37" s="61"/>
      <c r="F37" s="61"/>
      <c r="G37" s="59"/>
      <c r="H37" s="59"/>
      <c r="I37" s="59"/>
      <c r="J37" s="59"/>
      <c r="K37" s="59"/>
      <c r="L37" s="86">
        <f>H4</f>
        <v>83309.232115582359</v>
      </c>
      <c r="M37" t="s">
        <v>63</v>
      </c>
    </row>
    <row r="39" spans="2:13" x14ac:dyDescent="0.25">
      <c r="I39" s="87"/>
      <c r="K39" s="64"/>
      <c r="L39" s="88"/>
    </row>
    <row r="40" spans="2:13" x14ac:dyDescent="0.25">
      <c r="L40" s="88"/>
    </row>
  </sheetData>
  <mergeCells count="14">
    <mergeCell ref="D9:E9"/>
    <mergeCell ref="B11:B12"/>
    <mergeCell ref="C11:C12"/>
    <mergeCell ref="D11:D12"/>
    <mergeCell ref="E11:F11"/>
    <mergeCell ref="H11:H12"/>
    <mergeCell ref="B31:C31"/>
    <mergeCell ref="B32:B33"/>
    <mergeCell ref="C32:C33"/>
    <mergeCell ref="D32:D33"/>
    <mergeCell ref="E32:F32"/>
    <mergeCell ref="G32:G33"/>
    <mergeCell ref="H32:H33"/>
    <mergeCell ref="G11:G12"/>
  </mergeCells>
  <pageMargins left="0.7" right="0.7" top="0.75" bottom="0.75" header="0.3" footer="0.3"/>
  <pageSetup paperSize="9" orientation="portrait" verticalDpi="3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zoomScaleNormal="100" workbookViewId="0">
      <selection activeCell="B11" sqref="B11:B12"/>
    </sheetView>
  </sheetViews>
  <sheetFormatPr defaultColWidth="9" defaultRowHeight="15" x14ac:dyDescent="0.25"/>
  <cols>
    <col min="1" max="1" width="28.5703125" customWidth="1"/>
    <col min="2" max="2" width="18.140625" customWidth="1"/>
    <col min="3" max="4" width="15.85546875" customWidth="1"/>
    <col min="5" max="5" width="15.140625" customWidth="1"/>
    <col min="6" max="6" width="16" customWidth="1"/>
    <col min="7" max="7" width="14.7109375" customWidth="1"/>
    <col min="8" max="8" width="21.42578125" customWidth="1"/>
    <col min="9" max="9" width="14.85546875" customWidth="1"/>
    <col min="10" max="10" width="16" customWidth="1"/>
    <col min="11" max="11" width="12.140625" customWidth="1"/>
    <col min="12" max="12" width="12.28515625" style="2" customWidth="1"/>
    <col min="13" max="13" width="15" customWidth="1"/>
    <col min="16" max="17" width="11.42578125" customWidth="1"/>
    <col min="21" max="21" width="7.5703125" customWidth="1"/>
    <col min="24" max="24" width="13.28515625" customWidth="1"/>
    <col min="26" max="26" width="25.85546875" customWidth="1"/>
    <col min="28" max="29" width="10.85546875" customWidth="1"/>
    <col min="30" max="30" width="12.5703125" customWidth="1"/>
  </cols>
  <sheetData>
    <row r="1" spans="1:13" ht="46.5" customHeight="1" x14ac:dyDescent="0.25">
      <c r="A1" s="3" t="s">
        <v>0</v>
      </c>
      <c r="B1" s="101">
        <v>3253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/>
      <c r="K1" s="5" t="s">
        <v>7</v>
      </c>
    </row>
    <row r="2" spans="1:13" x14ac:dyDescent="0.25">
      <c r="A2" s="6" t="s">
        <v>8</v>
      </c>
      <c r="B2" s="107">
        <f>B4/B3</f>
        <v>8.7874677852348988</v>
      </c>
      <c r="C2" s="8"/>
      <c r="D2" s="8"/>
      <c r="E2" s="8"/>
      <c r="F2" s="8"/>
      <c r="G2" s="8"/>
      <c r="H2" s="8"/>
      <c r="I2" s="8"/>
      <c r="J2" s="8" t="s">
        <v>56</v>
      </c>
      <c r="K2" s="8">
        <f>Жовтень!K5</f>
        <v>62059.199999999997</v>
      </c>
    </row>
    <row r="3" spans="1:13" x14ac:dyDescent="0.25">
      <c r="A3" s="9" t="s">
        <v>10</v>
      </c>
      <c r="B3" s="103">
        <v>14900</v>
      </c>
      <c r="C3" s="102">
        <v>14900</v>
      </c>
      <c r="D3" s="8">
        <f>I14+I13</f>
        <v>13447.999999999956</v>
      </c>
      <c r="E3" s="8"/>
      <c r="F3" s="8"/>
      <c r="G3" s="8"/>
      <c r="H3" s="8"/>
      <c r="I3" s="8"/>
      <c r="J3" s="8" t="s">
        <v>11</v>
      </c>
      <c r="K3" s="8">
        <f>I34*3</f>
        <v>19540.800000000017</v>
      </c>
    </row>
    <row r="4" spans="1:13" x14ac:dyDescent="0.25">
      <c r="A4" s="6" t="s">
        <v>12</v>
      </c>
      <c r="B4" s="100">
        <v>130933.27</v>
      </c>
      <c r="C4" s="8" t="s">
        <v>13</v>
      </c>
      <c r="D4" s="8">
        <f>I34</f>
        <v>6513.6000000000058</v>
      </c>
      <c r="E4" s="8">
        <f>D4/D3*100</f>
        <v>48.435455086258379</v>
      </c>
      <c r="F4" s="8">
        <f>E4*C3/100</f>
        <v>7216.8828078524994</v>
      </c>
      <c r="G4" s="8">
        <f>B5*E4/100</f>
        <v>6073.3410874479732</v>
      </c>
      <c r="H4" s="13">
        <f>F4*B2+G4</f>
        <v>69491.466271267389</v>
      </c>
      <c r="I4" s="62"/>
      <c r="J4" s="8"/>
      <c r="K4" s="8">
        <f>K2-K3</f>
        <v>42518.39999999998</v>
      </c>
    </row>
    <row r="5" spans="1:13" ht="15.75" thickBot="1" x14ac:dyDescent="0.3">
      <c r="A5" s="14" t="s">
        <v>14</v>
      </c>
      <c r="B5" s="15">
        <f>10495.69+2043.35</f>
        <v>12539.04</v>
      </c>
      <c r="C5" s="8" t="s">
        <v>15</v>
      </c>
      <c r="D5" s="8">
        <f>D3-D4</f>
        <v>6934.3999999999505</v>
      </c>
      <c r="E5" s="8">
        <f>D5/D3*100</f>
        <v>51.564544913741614</v>
      </c>
      <c r="F5" s="8">
        <f>E5*C3/100</f>
        <v>7683.1171921474997</v>
      </c>
      <c r="G5" s="8">
        <f>B5*E5/100</f>
        <v>6465.6989125520267</v>
      </c>
      <c r="H5" s="13">
        <f>F5*B2+G5</f>
        <v>73980.84372873258</v>
      </c>
      <c r="I5" s="8"/>
      <c r="J5" s="8" t="s">
        <v>16</v>
      </c>
      <c r="K5" s="63">
        <f>K4+L5</f>
        <v>82718.39999999998</v>
      </c>
      <c r="L5" s="2">
        <v>40200</v>
      </c>
      <c r="M5" t="s">
        <v>57</v>
      </c>
    </row>
    <row r="6" spans="1:13" ht="15.75" thickBot="1" x14ac:dyDescent="0.3">
      <c r="A6" s="16" t="s">
        <v>17</v>
      </c>
      <c r="B6" s="99">
        <f>SUM(B4:B5)</f>
        <v>143472.31</v>
      </c>
    </row>
    <row r="7" spans="1:13" ht="15.75" thickBot="1" x14ac:dyDescent="0.3">
      <c r="A7" s="18" t="s">
        <v>18</v>
      </c>
      <c r="B7" s="99">
        <f>SUM(B6)</f>
        <v>143472.31</v>
      </c>
      <c r="G7" s="104"/>
      <c r="H7" s="20">
        <f>SUM(H4:H6)</f>
        <v>143472.30999999997</v>
      </c>
      <c r="K7" s="64"/>
    </row>
    <row r="8" spans="1:13" ht="15.75" thickBot="1" x14ac:dyDescent="0.3">
      <c r="A8" s="18" t="s">
        <v>19</v>
      </c>
      <c r="B8" s="21"/>
    </row>
    <row r="9" spans="1:13" x14ac:dyDescent="0.25">
      <c r="A9" s="22"/>
      <c r="B9" s="23"/>
      <c r="C9" s="24"/>
      <c r="D9" s="109"/>
      <c r="E9" s="109"/>
      <c r="F9" s="24"/>
    </row>
    <row r="10" spans="1:13" x14ac:dyDescent="0.25">
      <c r="A10" s="25"/>
      <c r="B10" s="26"/>
    </row>
    <row r="11" spans="1:13" ht="15" customHeight="1" x14ac:dyDescent="0.25">
      <c r="B11" s="113" t="s">
        <v>20</v>
      </c>
      <c r="C11" s="110" t="s">
        <v>21</v>
      </c>
      <c r="D11" s="115" t="s">
        <v>22</v>
      </c>
      <c r="E11" s="110" t="s">
        <v>23</v>
      </c>
      <c r="F11" s="110"/>
      <c r="G11" s="110" t="s">
        <v>24</v>
      </c>
      <c r="H11" s="115" t="s">
        <v>25</v>
      </c>
      <c r="I11" s="24"/>
    </row>
    <row r="12" spans="1:13" ht="47.25" customHeight="1" x14ac:dyDescent="0.25">
      <c r="B12" s="110"/>
      <c r="C12" s="110"/>
      <c r="D12" s="115"/>
      <c r="E12" s="29" t="s">
        <v>73</v>
      </c>
      <c r="F12" s="29" t="s">
        <v>72</v>
      </c>
      <c r="G12" s="110"/>
      <c r="H12" s="115"/>
      <c r="I12" s="28" t="s">
        <v>28</v>
      </c>
      <c r="J12" s="65" t="s">
        <v>29</v>
      </c>
      <c r="K12" s="66" t="s">
        <v>30</v>
      </c>
      <c r="L12" s="67"/>
      <c r="M12" s="68"/>
    </row>
    <row r="13" spans="1:13" ht="47.25" customHeight="1" x14ac:dyDescent="0.25">
      <c r="B13" s="27" t="s">
        <v>31</v>
      </c>
      <c r="C13" s="27"/>
      <c r="D13" s="28"/>
      <c r="E13" s="31">
        <v>25540.37</v>
      </c>
      <c r="F13" s="31">
        <v>25540.37</v>
      </c>
      <c r="G13" s="32">
        <f>E13-F13</f>
        <v>0</v>
      </c>
      <c r="H13" s="33">
        <v>200</v>
      </c>
      <c r="I13" s="33">
        <f>H13*G13</f>
        <v>0</v>
      </c>
      <c r="J13" s="65"/>
      <c r="K13" s="66"/>
      <c r="L13" s="67"/>
      <c r="M13" s="68"/>
    </row>
    <row r="14" spans="1:13" ht="47.25" customHeight="1" x14ac:dyDescent="0.25">
      <c r="B14" s="27" t="s">
        <v>32</v>
      </c>
      <c r="C14" s="27"/>
      <c r="D14" s="28"/>
      <c r="E14" s="31">
        <v>10493.21</v>
      </c>
      <c r="F14" s="31">
        <v>10425.969999999999</v>
      </c>
      <c r="G14" s="32">
        <f>E14-F14</f>
        <v>67.239999999999782</v>
      </c>
      <c r="H14" s="33">
        <v>200</v>
      </c>
      <c r="I14" s="33">
        <f>H14*G14</f>
        <v>13447.999999999956</v>
      </c>
      <c r="J14" s="65"/>
      <c r="K14" s="66"/>
      <c r="L14" s="67"/>
      <c r="M14" s="68"/>
    </row>
    <row r="15" spans="1:13" x14ac:dyDescent="0.25">
      <c r="A15" s="34" t="s">
        <v>33</v>
      </c>
      <c r="B15" s="25" t="s">
        <v>34</v>
      </c>
      <c r="C15" s="32">
        <v>851</v>
      </c>
      <c r="D15" s="35">
        <v>821430</v>
      </c>
      <c r="E15" s="105">
        <v>12077</v>
      </c>
      <c r="F15" s="105">
        <v>12077</v>
      </c>
      <c r="G15" s="32">
        <f>E15-F15</f>
        <v>0</v>
      </c>
      <c r="H15" s="33">
        <v>30</v>
      </c>
      <c r="I15" s="33">
        <f t="shared" ref="I15:I25" si="0">H15*G15</f>
        <v>0</v>
      </c>
      <c r="J15" s="32">
        <f>(I15*J7)-I15</f>
        <v>0</v>
      </c>
      <c r="K15" s="32">
        <f>J15+I15</f>
        <v>0</v>
      </c>
      <c r="L15" s="67">
        <f>K15*B2</f>
        <v>0</v>
      </c>
      <c r="M15" s="32"/>
    </row>
    <row r="16" spans="1:13" x14ac:dyDescent="0.25">
      <c r="A16" s="34" t="s">
        <v>35</v>
      </c>
      <c r="B16" s="25" t="s">
        <v>36</v>
      </c>
      <c r="C16" s="32">
        <v>839</v>
      </c>
      <c r="D16" s="35">
        <v>821436</v>
      </c>
      <c r="E16" s="105">
        <v>14163</v>
      </c>
      <c r="F16" s="105">
        <v>14163</v>
      </c>
      <c r="G16" s="32">
        <f t="shared" ref="G16:G25" si="1">E16-F16</f>
        <v>0</v>
      </c>
      <c r="H16" s="33">
        <v>30</v>
      </c>
      <c r="I16" s="33">
        <f t="shared" si="0"/>
        <v>0</v>
      </c>
      <c r="J16" s="32">
        <f>(I16*J7)-I16</f>
        <v>0</v>
      </c>
      <c r="K16" s="32">
        <f t="shared" ref="K16:K23" si="2">J16+I16</f>
        <v>0</v>
      </c>
      <c r="L16" s="67">
        <f>K16*B2</f>
        <v>0</v>
      </c>
      <c r="M16" s="32"/>
    </row>
    <row r="17" spans="1:13" x14ac:dyDescent="0.25">
      <c r="A17" s="34"/>
      <c r="B17" s="25" t="s">
        <v>37</v>
      </c>
      <c r="C17" s="32">
        <v>428</v>
      </c>
      <c r="D17" s="35">
        <v>11829942</v>
      </c>
      <c r="E17" s="105">
        <v>2213</v>
      </c>
      <c r="F17" s="105">
        <v>2213</v>
      </c>
      <c r="G17" s="32">
        <f t="shared" si="1"/>
        <v>0</v>
      </c>
      <c r="H17" s="33">
        <v>40</v>
      </c>
      <c r="I17" s="33">
        <f t="shared" si="0"/>
        <v>0</v>
      </c>
      <c r="J17" s="32">
        <f>(I17*J7)-I17</f>
        <v>0</v>
      </c>
      <c r="K17" s="32">
        <f t="shared" si="2"/>
        <v>0</v>
      </c>
      <c r="L17" s="67">
        <f>K17*B2</f>
        <v>0</v>
      </c>
      <c r="M17" s="32"/>
    </row>
    <row r="18" spans="1:13" x14ac:dyDescent="0.25">
      <c r="A18" s="34"/>
      <c r="B18" s="25" t="s">
        <v>38</v>
      </c>
      <c r="C18" s="32">
        <v>415</v>
      </c>
      <c r="D18" s="35">
        <v>820614</v>
      </c>
      <c r="E18" s="105">
        <v>14247</v>
      </c>
      <c r="F18" s="105">
        <v>14229</v>
      </c>
      <c r="G18" s="32">
        <f t="shared" si="1"/>
        <v>18</v>
      </c>
      <c r="H18" s="33">
        <v>40</v>
      </c>
      <c r="I18" s="33">
        <f t="shared" si="0"/>
        <v>720</v>
      </c>
      <c r="J18" s="32">
        <f>(I18*J7)-I18</f>
        <v>-720</v>
      </c>
      <c r="K18" s="32">
        <f t="shared" si="2"/>
        <v>0</v>
      </c>
      <c r="L18" s="67">
        <f>K18*B2</f>
        <v>0</v>
      </c>
      <c r="M18" s="32"/>
    </row>
    <row r="19" spans="1:13" x14ac:dyDescent="0.25">
      <c r="A19" s="34"/>
      <c r="B19" s="25" t="s">
        <v>39</v>
      </c>
      <c r="C19" s="32">
        <v>428</v>
      </c>
      <c r="D19" s="35">
        <v>820573</v>
      </c>
      <c r="E19" s="105">
        <v>10172</v>
      </c>
      <c r="F19" s="105">
        <v>10172</v>
      </c>
      <c r="G19" s="32">
        <f t="shared" si="1"/>
        <v>0</v>
      </c>
      <c r="H19" s="33">
        <v>40</v>
      </c>
      <c r="I19" s="33">
        <f t="shared" si="0"/>
        <v>0</v>
      </c>
      <c r="J19" s="32">
        <f>(I19*J7)-I19</f>
        <v>0</v>
      </c>
      <c r="K19" s="32">
        <f t="shared" si="2"/>
        <v>0</v>
      </c>
      <c r="L19" s="67">
        <f>K19*B3</f>
        <v>0</v>
      </c>
      <c r="M19" s="32"/>
    </row>
    <row r="20" spans="1:13" x14ac:dyDescent="0.25">
      <c r="A20" s="34"/>
      <c r="B20" s="25" t="s">
        <v>40</v>
      </c>
      <c r="C20" s="32">
        <v>292</v>
      </c>
      <c r="D20" s="35">
        <v>10808904</v>
      </c>
      <c r="E20" s="105">
        <v>11737</v>
      </c>
      <c r="F20" s="105">
        <v>11729</v>
      </c>
      <c r="G20" s="32">
        <f t="shared" si="1"/>
        <v>8</v>
      </c>
      <c r="H20" s="33">
        <v>1</v>
      </c>
      <c r="I20" s="33">
        <f t="shared" si="0"/>
        <v>8</v>
      </c>
      <c r="J20" s="32">
        <f t="shared" ref="J20:J25" si="3">(I20*J8)-I20</f>
        <v>-8</v>
      </c>
      <c r="K20" s="32">
        <f t="shared" si="2"/>
        <v>0</v>
      </c>
      <c r="L20" s="67">
        <f>K20*B4</f>
        <v>0</v>
      </c>
      <c r="M20" s="32"/>
    </row>
    <row r="21" spans="1:13" x14ac:dyDescent="0.25">
      <c r="A21" s="34" t="s">
        <v>33</v>
      </c>
      <c r="B21" s="32" t="s">
        <v>41</v>
      </c>
      <c r="C21" s="32">
        <v>573</v>
      </c>
      <c r="D21" s="35">
        <v>945448</v>
      </c>
      <c r="E21" s="37">
        <v>207908</v>
      </c>
      <c r="F21" s="37">
        <v>205002</v>
      </c>
      <c r="G21" s="32">
        <f t="shared" si="1"/>
        <v>2906</v>
      </c>
      <c r="H21" s="33">
        <v>1</v>
      </c>
      <c r="I21" s="33">
        <f t="shared" si="0"/>
        <v>2906</v>
      </c>
      <c r="J21" s="32">
        <v>0</v>
      </c>
      <c r="K21" s="32">
        <f t="shared" si="2"/>
        <v>2906</v>
      </c>
      <c r="L21" s="67">
        <f>K21*B2</f>
        <v>25536.381383892614</v>
      </c>
      <c r="M21" s="32"/>
    </row>
    <row r="22" spans="1:13" x14ac:dyDescent="0.25">
      <c r="A22" s="34" t="s">
        <v>42</v>
      </c>
      <c r="B22" s="32" t="s">
        <v>43</v>
      </c>
      <c r="C22" s="32">
        <v>573</v>
      </c>
      <c r="D22" s="35">
        <v>945448</v>
      </c>
      <c r="E22" s="37">
        <v>639971</v>
      </c>
      <c r="F22" s="37">
        <v>638820</v>
      </c>
      <c r="G22" s="32">
        <f t="shared" si="1"/>
        <v>1151</v>
      </c>
      <c r="H22" s="33">
        <v>1</v>
      </c>
      <c r="I22" s="33">
        <f t="shared" si="0"/>
        <v>1151</v>
      </c>
      <c r="J22" s="32">
        <v>0</v>
      </c>
      <c r="K22" s="32">
        <f t="shared" si="2"/>
        <v>1151</v>
      </c>
      <c r="L22" s="67">
        <f>(K22*B2)</f>
        <v>10114.375420805369</v>
      </c>
      <c r="M22" s="32"/>
    </row>
    <row r="23" spans="1:13" x14ac:dyDescent="0.25">
      <c r="A23" s="34"/>
      <c r="B23" s="32" t="s">
        <v>44</v>
      </c>
      <c r="C23" s="32"/>
      <c r="D23" s="35">
        <v>906068</v>
      </c>
      <c r="E23" s="37">
        <v>409457</v>
      </c>
      <c r="F23" s="37">
        <v>408850</v>
      </c>
      <c r="G23" s="32">
        <f t="shared" si="1"/>
        <v>607</v>
      </c>
      <c r="H23" s="33">
        <v>1</v>
      </c>
      <c r="I23" s="33">
        <f t="shared" si="0"/>
        <v>607</v>
      </c>
      <c r="J23" s="32">
        <v>0</v>
      </c>
      <c r="K23" s="32">
        <f t="shared" si="2"/>
        <v>607</v>
      </c>
      <c r="L23" s="67">
        <f>K23*B2</f>
        <v>5333.9929456375839</v>
      </c>
      <c r="M23" s="32"/>
    </row>
    <row r="24" spans="1:13" s="1" customFormat="1" x14ac:dyDescent="0.25">
      <c r="A24" s="38"/>
      <c r="B24" s="39" t="s">
        <v>45</v>
      </c>
      <c r="C24" s="39" t="s">
        <v>46</v>
      </c>
      <c r="D24" s="40">
        <v>8638117</v>
      </c>
      <c r="E24" s="41">
        <v>14715</v>
      </c>
      <c r="F24" s="41">
        <v>14709</v>
      </c>
      <c r="G24" s="39">
        <f t="shared" si="1"/>
        <v>6</v>
      </c>
      <c r="H24" s="42">
        <v>160</v>
      </c>
      <c r="I24" s="42">
        <f t="shared" si="0"/>
        <v>960</v>
      </c>
      <c r="J24" s="70">
        <v>0</v>
      </c>
      <c r="K24" s="39">
        <f>(J24+I24)*0.647</f>
        <v>621.12</v>
      </c>
      <c r="L24" s="71">
        <f>(K24*B2)</f>
        <v>5458.0719907651001</v>
      </c>
      <c r="M24" s="71"/>
    </row>
    <row r="25" spans="1:13" s="1" customFormat="1" x14ac:dyDescent="0.25">
      <c r="A25" s="38"/>
      <c r="B25" s="39" t="s">
        <v>47</v>
      </c>
      <c r="C25" s="39" t="s">
        <v>46</v>
      </c>
      <c r="D25" s="40">
        <v>915199</v>
      </c>
      <c r="E25" s="41">
        <v>176459</v>
      </c>
      <c r="F25" s="41">
        <v>176439</v>
      </c>
      <c r="G25" s="39">
        <f t="shared" si="1"/>
        <v>20</v>
      </c>
      <c r="H25" s="42">
        <v>1</v>
      </c>
      <c r="I25" s="42">
        <f t="shared" si="0"/>
        <v>20</v>
      </c>
      <c r="J25" s="70">
        <f t="shared" si="3"/>
        <v>-20</v>
      </c>
      <c r="K25" s="39">
        <f>(J25+I25)*0.647</f>
        <v>0</v>
      </c>
      <c r="L25" s="71">
        <f>(K25*B2)</f>
        <v>0</v>
      </c>
      <c r="M25" s="71"/>
    </row>
    <row r="26" spans="1:13" x14ac:dyDescent="0.25">
      <c r="B26" s="32" t="s">
        <v>48</v>
      </c>
      <c r="C26" s="32" t="s">
        <v>46</v>
      </c>
      <c r="D26" s="43"/>
      <c r="E26" s="25"/>
      <c r="F26" s="25"/>
      <c r="G26" s="106"/>
      <c r="H26" s="32"/>
      <c r="I26" s="32"/>
      <c r="J26" s="32"/>
      <c r="K26" s="32"/>
      <c r="L26" s="67">
        <f>B5*J7</f>
        <v>0</v>
      </c>
    </row>
    <row r="27" spans="1:13" ht="15.75" thickBot="1" x14ac:dyDescent="0.3">
      <c r="B27" s="32" t="s">
        <v>59</v>
      </c>
      <c r="C27" s="32"/>
      <c r="D27" s="43"/>
      <c r="E27" s="25">
        <v>15263</v>
      </c>
      <c r="F27" s="25">
        <v>15179</v>
      </c>
      <c r="G27" s="106">
        <f t="shared" ref="G27" si="4">E27-F27</f>
        <v>84</v>
      </c>
      <c r="H27" s="32">
        <v>1</v>
      </c>
      <c r="I27" s="33">
        <f>H27*G27</f>
        <v>84</v>
      </c>
      <c r="J27" s="32"/>
      <c r="K27" s="32"/>
      <c r="L27" s="67"/>
    </row>
    <row r="28" spans="1:13" ht="15.75" thickBot="1" x14ac:dyDescent="0.3">
      <c r="B28" s="44" t="s">
        <v>49</v>
      </c>
      <c r="C28" s="45"/>
      <c r="D28" s="46"/>
      <c r="E28" s="47"/>
      <c r="F28" s="47"/>
      <c r="G28" s="45"/>
      <c r="H28" s="45"/>
      <c r="I28" s="72"/>
      <c r="J28" s="45">
        <f>J6*J7</f>
        <v>0</v>
      </c>
      <c r="K28" s="73">
        <f>J28+I28</f>
        <v>0</v>
      </c>
      <c r="L28" s="74"/>
      <c r="M28" s="75"/>
    </row>
    <row r="29" spans="1:13" ht="15.75" thickBot="1" x14ac:dyDescent="0.3">
      <c r="A29" s="48" t="s">
        <v>50</v>
      </c>
      <c r="B29" s="49" t="s">
        <v>48</v>
      </c>
      <c r="C29" s="49" t="s">
        <v>46</v>
      </c>
      <c r="D29" s="50"/>
      <c r="E29" s="51"/>
      <c r="F29" s="51"/>
      <c r="G29" s="49"/>
      <c r="H29" s="49"/>
      <c r="I29" s="76"/>
      <c r="J29" s="49">
        <f>G5</f>
        <v>6465.6989125520267</v>
      </c>
      <c r="K29" s="77">
        <f>F5</f>
        <v>7683.1171921474997</v>
      </c>
      <c r="L29" s="78">
        <f>(K29*B2)+J29</f>
        <v>73980.84372873258</v>
      </c>
      <c r="M29" s="79"/>
    </row>
    <row r="31" spans="1:13" x14ac:dyDescent="0.25">
      <c r="B31" s="109" t="s">
        <v>51</v>
      </c>
      <c r="C31" s="109"/>
      <c r="D31" s="24"/>
    </row>
    <row r="32" spans="1:13" x14ac:dyDescent="0.25">
      <c r="B32" s="114" t="s">
        <v>20</v>
      </c>
      <c r="C32" s="114" t="s">
        <v>21</v>
      </c>
      <c r="D32" s="116" t="s">
        <v>22</v>
      </c>
      <c r="E32" s="111" t="s">
        <v>23</v>
      </c>
      <c r="F32" s="112"/>
      <c r="G32" s="114" t="s">
        <v>24</v>
      </c>
      <c r="H32" s="116" t="s">
        <v>25</v>
      </c>
      <c r="I32" s="24"/>
    </row>
    <row r="33" spans="2:13" ht="30" x14ac:dyDescent="0.25">
      <c r="B33" s="113"/>
      <c r="C33" s="113"/>
      <c r="D33" s="117"/>
      <c r="E33" s="29" t="s">
        <v>73</v>
      </c>
      <c r="F33" s="29" t="s">
        <v>72</v>
      </c>
      <c r="G33" s="113"/>
      <c r="H33" s="117"/>
      <c r="I33" s="28" t="s">
        <v>52</v>
      </c>
      <c r="J33" s="65"/>
      <c r="K33" s="66"/>
      <c r="L33" s="67" t="s">
        <v>54</v>
      </c>
      <c r="M33" s="68"/>
    </row>
    <row r="34" spans="2:13" x14ac:dyDescent="0.25">
      <c r="B34" s="25" t="s">
        <v>13</v>
      </c>
      <c r="C34" s="32"/>
      <c r="D34" s="35">
        <v>821430</v>
      </c>
      <c r="E34" s="25">
        <v>885.1</v>
      </c>
      <c r="F34" s="25">
        <v>803.68</v>
      </c>
      <c r="G34" s="32">
        <f>E34-F34</f>
        <v>81.420000000000073</v>
      </c>
      <c r="H34" s="33">
        <v>80</v>
      </c>
      <c r="I34" s="33">
        <f>H34*G34</f>
        <v>6513.6000000000058</v>
      </c>
      <c r="J34" s="32"/>
      <c r="K34" s="32"/>
      <c r="L34" s="67">
        <f>J34*B2</f>
        <v>0</v>
      </c>
      <c r="M34" s="32"/>
    </row>
    <row r="35" spans="2:13" ht="15.75" thickBot="1" x14ac:dyDescent="0.3">
      <c r="B35" s="52" t="s">
        <v>48</v>
      </c>
      <c r="C35" s="52" t="s">
        <v>46</v>
      </c>
      <c r="D35" s="53"/>
      <c r="E35" s="54"/>
      <c r="F35" s="54"/>
      <c r="G35" s="52"/>
      <c r="H35" s="52"/>
      <c r="I35" s="52"/>
      <c r="J35" s="52"/>
      <c r="K35" s="52"/>
      <c r="L35" s="80"/>
      <c r="M35" s="81"/>
    </row>
    <row r="36" spans="2:13" ht="15.75" thickBot="1" x14ac:dyDescent="0.3">
      <c r="B36" s="55" t="s">
        <v>49</v>
      </c>
      <c r="C36" s="56"/>
      <c r="D36" s="57"/>
      <c r="E36" s="58"/>
      <c r="F36" s="58"/>
      <c r="G36" s="56"/>
      <c r="H36" s="56"/>
      <c r="I36" s="82">
        <f>SUM(I34:I35)</f>
        <v>6513.6000000000058</v>
      </c>
      <c r="J36" s="56"/>
      <c r="K36" s="83">
        <f>SUM(K34:K35)</f>
        <v>0</v>
      </c>
      <c r="L36" s="84"/>
      <c r="M36" s="85"/>
    </row>
    <row r="37" spans="2:13" ht="15.75" thickBot="1" x14ac:dyDescent="0.3">
      <c r="B37" s="48" t="s">
        <v>50</v>
      </c>
      <c r="C37" s="59"/>
      <c r="D37" s="60"/>
      <c r="E37" s="61"/>
      <c r="F37" s="61"/>
      <c r="G37" s="59"/>
      <c r="H37" s="59"/>
      <c r="I37" s="59"/>
      <c r="J37" s="59"/>
      <c r="K37" s="59"/>
      <c r="L37" s="86">
        <f>H4</f>
        <v>69491.466271267389</v>
      </c>
      <c r="M37" t="s">
        <v>63</v>
      </c>
    </row>
    <row r="39" spans="2:13" x14ac:dyDescent="0.25">
      <c r="I39" s="87"/>
      <c r="K39" s="64"/>
      <c r="L39" s="88"/>
    </row>
    <row r="40" spans="2:13" x14ac:dyDescent="0.25">
      <c r="L40" s="88"/>
    </row>
  </sheetData>
  <mergeCells count="14">
    <mergeCell ref="D9:E9"/>
    <mergeCell ref="B11:B12"/>
    <mergeCell ref="C11:C12"/>
    <mergeCell ref="D11:D12"/>
    <mergeCell ref="E11:F11"/>
    <mergeCell ref="H11:H12"/>
    <mergeCell ref="B31:C31"/>
    <mergeCell ref="B32:B33"/>
    <mergeCell ref="C32:C33"/>
    <mergeCell ref="D32:D33"/>
    <mergeCell ref="E32:F32"/>
    <mergeCell ref="G32:G33"/>
    <mergeCell ref="H32:H33"/>
    <mergeCell ref="G11:G12"/>
  </mergeCells>
  <pageMargins left="0.7" right="0.7" top="0.75" bottom="0.75" header="0.3" footer="0.3"/>
  <pageSetup paperSize="9" orientation="portrait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Жовтень</vt:lpstr>
      <vt:lpstr>Листопад</vt:lpstr>
      <vt:lpstr>грудень</vt:lpstr>
      <vt:lpstr>січень</vt:lpstr>
      <vt:lpstr>лютий </vt:lpstr>
      <vt:lpstr>березень</vt:lpstr>
      <vt:lpstr>квітень</vt:lpstr>
      <vt:lpstr>травень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Комков Дмитро Вячеславович</dc:creator>
  <cp:lastModifiedBy>Кавакін Анатолій Ігорович</cp:lastModifiedBy>
  <cp:lastPrinted>2025-09-12T06:40:00Z</cp:lastPrinted>
  <dcterms:created xsi:type="dcterms:W3CDTF">2025-04-17T07:25:00Z</dcterms:created>
  <dcterms:modified xsi:type="dcterms:W3CDTF">2026-06-25T13:31:12Z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E7E15152AF604619A4E99A17778EBB9F_12</vt:lpwstr>
  </property>
  <property fmtid="{D5CDD505-2E9C-101B-9397-08002B2CF9AE}" pid="3" name="KSOProductBuildVer">
    <vt:lpwstr>1049-12.2.0.23196</vt:lpwstr>
  </property>
</Properties>
</file>